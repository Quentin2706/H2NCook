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66925"/>
  <xr:revisionPtr revIDLastSave="0" documentId="8_{0AE098D6-1FB3-744B-885D-A29895810057}" xr6:coauthVersionLast="45" xr6:coauthVersionMax="45" xr10:uidLastSave="{00000000-0000-0000-0000-000000000000}"/>
  <bookViews>
    <workbookView xWindow="240" yWindow="105" windowWidth="14805" windowHeight="8010" firstSheet="7" activeTab="9" xr2:uid="{00000000-000D-0000-FFFF-FFFF00000000}"/>
  </bookViews>
  <sheets>
    <sheet name="Commande Journaliere" sheetId="2" r:id="rId1"/>
    <sheet name="INVENTAIRE" sheetId="9" r:id="rId2"/>
    <sheet name="Loste" sheetId="8" r:id="rId3"/>
    <sheet name="ECOLAB" sheetId="10" r:id="rId4"/>
    <sheet name="Transgourmet" sheetId="3" r:id="rId5"/>
    <sheet name="Passion Froid" sheetId="6" r:id="rId6"/>
    <sheet name="Episaveur" sheetId="4" r:id="rId7"/>
    <sheet name="Commande Via Patisserie" sheetId="1" r:id="rId8"/>
    <sheet name="Pollet" sheetId="7" r:id="rId9"/>
    <sheet name="Goeland" sheetId="5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5" i="1" l="1"/>
  <c r="G26" i="1"/>
  <c r="H65" i="4"/>
  <c r="H66" i="4"/>
  <c r="H22" i="3"/>
  <c r="H42" i="4"/>
  <c r="H41" i="4"/>
  <c r="H10" i="4"/>
  <c r="H42" i="3"/>
  <c r="H5" i="3"/>
  <c r="H9" i="3"/>
  <c r="H55" i="4"/>
  <c r="H69" i="4"/>
  <c r="H7" i="3"/>
  <c r="H15" i="3"/>
  <c r="H38" i="3"/>
  <c r="H26" i="3"/>
  <c r="H26" i="4"/>
  <c r="H45" i="3"/>
  <c r="H17" i="3"/>
  <c r="H16" i="3"/>
  <c r="H37" i="3"/>
  <c r="H19" i="3"/>
  <c r="H14" i="3"/>
  <c r="H12" i="3"/>
  <c r="G23" i="1"/>
  <c r="G24" i="1"/>
  <c r="G27" i="1"/>
  <c r="G28" i="1"/>
  <c r="G29" i="1"/>
  <c r="G30" i="1"/>
  <c r="G31" i="1"/>
  <c r="G32" i="1"/>
  <c r="F4" i="5"/>
  <c r="H68" i="3"/>
  <c r="H69" i="3"/>
  <c r="H127" i="3"/>
  <c r="G126" i="3"/>
  <c r="G30" i="6"/>
  <c r="H83" i="4"/>
  <c r="H82" i="4"/>
  <c r="H81" i="4"/>
  <c r="H80" i="4"/>
  <c r="E82" i="4"/>
  <c r="E81" i="4"/>
  <c r="E80" i="4"/>
  <c r="E83" i="4"/>
  <c r="G3" i="7"/>
  <c r="G9" i="7"/>
  <c r="C12" i="9"/>
  <c r="G4" i="1"/>
  <c r="G5" i="1"/>
  <c r="G6" i="1"/>
  <c r="G7" i="1"/>
  <c r="G8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3" i="1"/>
  <c r="G4" i="5"/>
  <c r="G5" i="5"/>
  <c r="G6" i="5"/>
  <c r="G7" i="5"/>
  <c r="G8" i="5"/>
  <c r="G9" i="5"/>
  <c r="G3" i="5"/>
  <c r="H36" i="3"/>
  <c r="H107" i="3"/>
  <c r="H31" i="6"/>
  <c r="H30" i="6"/>
  <c r="G33" i="1"/>
  <c r="C10" i="9"/>
  <c r="G12" i="5"/>
  <c r="C11" i="9"/>
  <c r="H25" i="6"/>
  <c r="H21" i="6"/>
  <c r="H22" i="6"/>
  <c r="H23" i="6"/>
  <c r="H24" i="6"/>
  <c r="H20" i="6"/>
  <c r="E27" i="6"/>
  <c r="H27" i="6"/>
  <c r="H19" i="6"/>
  <c r="H18" i="6"/>
  <c r="H17" i="6"/>
  <c r="H4" i="6"/>
  <c r="H34" i="6"/>
  <c r="C9" i="9"/>
  <c r="H5" i="6"/>
  <c r="H6" i="6"/>
  <c r="H7" i="6"/>
  <c r="H8" i="6"/>
  <c r="H9" i="6"/>
  <c r="H10" i="6"/>
  <c r="H11" i="6"/>
  <c r="H12" i="6"/>
  <c r="H13" i="6"/>
  <c r="H14" i="6"/>
  <c r="H3" i="6"/>
  <c r="E53" i="4"/>
  <c r="H6" i="3"/>
  <c r="H135" i="3"/>
  <c r="H136" i="3"/>
  <c r="H137" i="3"/>
  <c r="H138" i="3"/>
  <c r="H139" i="3"/>
  <c r="H140" i="3"/>
  <c r="H134" i="3"/>
  <c r="H119" i="3"/>
  <c r="H120" i="3"/>
  <c r="H121" i="3"/>
  <c r="H122" i="3"/>
  <c r="H125" i="3"/>
  <c r="H126" i="3"/>
  <c r="H128" i="3"/>
  <c r="H129" i="3"/>
  <c r="H130" i="3"/>
  <c r="H11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8" i="3"/>
  <c r="H109" i="3"/>
  <c r="H110" i="3"/>
  <c r="H111" i="3"/>
  <c r="H112" i="3"/>
  <c r="H113" i="3"/>
  <c r="H88" i="3"/>
  <c r="H62" i="3"/>
  <c r="H63" i="3"/>
  <c r="H64" i="3"/>
  <c r="H65" i="3"/>
  <c r="H66" i="3"/>
  <c r="H67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61" i="3"/>
  <c r="H4" i="3"/>
  <c r="H8" i="3"/>
  <c r="H10" i="3"/>
  <c r="H11" i="3"/>
  <c r="H13" i="3"/>
  <c r="H18" i="3"/>
  <c r="H20" i="3"/>
  <c r="H21" i="3"/>
  <c r="H23" i="3"/>
  <c r="H24" i="3"/>
  <c r="H25" i="3"/>
  <c r="H27" i="3"/>
  <c r="H28" i="3"/>
  <c r="H29" i="3"/>
  <c r="H30" i="3"/>
  <c r="H31" i="3"/>
  <c r="H32" i="3"/>
  <c r="H33" i="3"/>
  <c r="H34" i="3"/>
  <c r="H35" i="3"/>
  <c r="H39" i="3"/>
  <c r="H40" i="3"/>
  <c r="H41" i="3"/>
  <c r="H43" i="3"/>
  <c r="H44" i="3"/>
  <c r="H46" i="3"/>
  <c r="H47" i="3"/>
  <c r="H48" i="3"/>
  <c r="H49" i="3"/>
  <c r="H50" i="3"/>
  <c r="H51" i="3"/>
  <c r="H52" i="3"/>
  <c r="H53" i="3"/>
  <c r="H54" i="3"/>
  <c r="H55" i="3"/>
  <c r="H56" i="3"/>
  <c r="H85" i="3"/>
  <c r="H115" i="3"/>
  <c r="H3" i="3"/>
  <c r="G4" i="10"/>
  <c r="G5" i="10"/>
  <c r="G6" i="10"/>
  <c r="G7" i="10"/>
  <c r="G8" i="10"/>
  <c r="G9" i="10"/>
  <c r="G10" i="10"/>
  <c r="G11" i="10"/>
  <c r="G3" i="10"/>
  <c r="G14" i="10"/>
  <c r="C8" i="9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66" i="8"/>
  <c r="H3" i="4"/>
  <c r="H4" i="4"/>
  <c r="H5" i="4"/>
  <c r="H6" i="4"/>
  <c r="H7" i="4"/>
  <c r="H8" i="4"/>
  <c r="H9" i="4"/>
  <c r="H11" i="4"/>
  <c r="H12" i="4"/>
  <c r="H13" i="4"/>
  <c r="H14" i="4"/>
  <c r="H15" i="4"/>
  <c r="H17" i="4"/>
  <c r="H18" i="4"/>
  <c r="H19" i="4"/>
  <c r="H20" i="4"/>
  <c r="H22" i="4"/>
  <c r="H23" i="4"/>
  <c r="H24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3" i="4"/>
  <c r="H44" i="4"/>
  <c r="H45" i="4"/>
  <c r="H46" i="4"/>
  <c r="H47" i="4"/>
  <c r="H48" i="4"/>
  <c r="H49" i="4"/>
  <c r="H50" i="4"/>
  <c r="H51" i="4"/>
  <c r="H54" i="4"/>
  <c r="H56" i="4"/>
  <c r="H57" i="4"/>
  <c r="H58" i="4"/>
  <c r="H59" i="4"/>
  <c r="H60" i="4"/>
  <c r="H61" i="4"/>
  <c r="H62" i="4"/>
  <c r="H63" i="4"/>
  <c r="H64" i="4"/>
  <c r="H67" i="4"/>
  <c r="H68" i="4"/>
  <c r="H71" i="4"/>
  <c r="H72" i="4"/>
  <c r="H73" i="4"/>
  <c r="H74" i="4"/>
  <c r="H75" i="4"/>
  <c r="H76" i="4"/>
  <c r="H77" i="4"/>
  <c r="H2" i="4"/>
  <c r="H25" i="4"/>
  <c r="H142" i="3"/>
  <c r="E123" i="3"/>
  <c r="H123" i="3"/>
  <c r="E124" i="3"/>
  <c r="H124" i="3"/>
  <c r="F58" i="3"/>
  <c r="C5" i="9"/>
  <c r="H131" i="3"/>
  <c r="H145" i="3"/>
  <c r="C6" i="9"/>
  <c r="H70" i="4"/>
  <c r="H53" i="4"/>
  <c r="E52" i="4"/>
  <c r="H52" i="4"/>
  <c r="E21" i="4"/>
  <c r="H21" i="4"/>
  <c r="E16" i="4"/>
  <c r="H16" i="4"/>
  <c r="H86" i="4"/>
  <c r="C7" i="9"/>
  <c r="C14" i="9"/>
</calcChain>
</file>

<file path=xl/sharedStrings.xml><?xml version="1.0" encoding="utf-8"?>
<sst xmlns="http://schemas.openxmlformats.org/spreadsheetml/2006/main" count="1039" uniqueCount="577">
  <si>
    <t>Les Essentiels</t>
  </si>
  <si>
    <t>Louis</t>
  </si>
  <si>
    <t>Pomona</t>
  </si>
  <si>
    <t>Transgourmet</t>
  </si>
  <si>
    <t>Beurre</t>
  </si>
  <si>
    <t>Parmesan rapé</t>
  </si>
  <si>
    <t>Canapin Blanc</t>
  </si>
  <si>
    <t xml:space="preserve">Lait </t>
  </si>
  <si>
    <t>Magret Fumé</t>
  </si>
  <si>
    <t>Canapin Couleur</t>
  </si>
  <si>
    <t>Creme UHT</t>
  </si>
  <si>
    <t>Saucisse Montbé</t>
  </si>
  <si>
    <t>Gros Sel</t>
  </si>
  <si>
    <t>Farine</t>
  </si>
  <si>
    <t>pavé Selle agneau</t>
  </si>
  <si>
    <t>Creme Isigny</t>
  </si>
  <si>
    <t>Sucre Semoule</t>
  </si>
  <si>
    <t>Fromage Blc</t>
  </si>
  <si>
    <t>Concentré Tomates</t>
  </si>
  <si>
    <t>Oeufs</t>
  </si>
  <si>
    <t>Mimo Boule</t>
  </si>
  <si>
    <t>Emmental Rapé</t>
  </si>
  <si>
    <t>Purée Fruit</t>
  </si>
  <si>
    <t>Chèvre Long</t>
  </si>
  <si>
    <t>Moutarde Dijon</t>
  </si>
  <si>
    <t>Gélatine</t>
  </si>
  <si>
    <t>Chair Crabe</t>
  </si>
  <si>
    <t>mini Fond rond</t>
  </si>
  <si>
    <t>Fromage Tranches</t>
  </si>
  <si>
    <t>Pains Suedois</t>
  </si>
  <si>
    <t>Pain nordique</t>
  </si>
  <si>
    <t>Sel Fin</t>
  </si>
  <si>
    <t>Blinis</t>
  </si>
  <si>
    <t>tomate confite</t>
  </si>
  <si>
    <t>Film Ali</t>
  </si>
  <si>
    <t>Abricot Sec</t>
  </si>
  <si>
    <t>Paille de Fer</t>
  </si>
  <si>
    <t>Episaveur</t>
  </si>
  <si>
    <t>Epinard</t>
  </si>
  <si>
    <t>Cornichon aigre doux</t>
  </si>
  <si>
    <t>Lardons</t>
  </si>
  <si>
    <t>Loste</t>
  </si>
  <si>
    <t xml:space="preserve"> Sac sous vide 25.35</t>
  </si>
  <si>
    <t>Ris Veau</t>
  </si>
  <si>
    <t>Jambon Blanc</t>
  </si>
  <si>
    <t>Sac sous vide 30.40</t>
  </si>
  <si>
    <t>Foie Gras</t>
  </si>
  <si>
    <t>Jambon Cru</t>
  </si>
  <si>
    <t>Godet aluminium</t>
  </si>
  <si>
    <t>Huile Friture</t>
  </si>
  <si>
    <t>Rosette</t>
  </si>
  <si>
    <t>Pic Bambou</t>
  </si>
  <si>
    <t>Huile Tournesol</t>
  </si>
  <si>
    <t>Chorizo</t>
  </si>
  <si>
    <t>Mini Cuillere</t>
  </si>
  <si>
    <t>Gambas Mariné</t>
  </si>
  <si>
    <t>Gant Latex</t>
  </si>
  <si>
    <t>Goeland</t>
  </si>
  <si>
    <t>Boudin Blanc</t>
  </si>
  <si>
    <t>Riz Long Grain</t>
  </si>
  <si>
    <t>Riz Exquisiotto</t>
  </si>
  <si>
    <t xml:space="preserve">St Jacques </t>
  </si>
  <si>
    <t>Fleur de Sel</t>
  </si>
  <si>
    <t>Saumon Fumé</t>
  </si>
  <si>
    <t>Vinaigre Balsa Noir</t>
  </si>
  <si>
    <t>Filet Saumon</t>
  </si>
  <si>
    <t>Vinaigre Balsa blc</t>
  </si>
  <si>
    <t>Dos Cabillaud</t>
  </si>
  <si>
    <t>STOCK CHATEAU MORBECQUE 2020</t>
  </si>
  <si>
    <t>FOURNISSEUR</t>
  </si>
  <si>
    <t>Nombre de Reference</t>
  </si>
  <si>
    <t>Total</t>
  </si>
  <si>
    <t>LOSTE</t>
  </si>
  <si>
    <t>TRANSGOURMET</t>
  </si>
  <si>
    <t>EPISAVEUR</t>
  </si>
  <si>
    <t>ECOLAB</t>
  </si>
  <si>
    <t>PASSION FROID</t>
  </si>
  <si>
    <t>FOURNISSEUR PATISSERIE</t>
  </si>
  <si>
    <t>GOELAND</t>
  </si>
  <si>
    <t>POLLET</t>
  </si>
  <si>
    <t>TOTAL STOCK</t>
  </si>
  <si>
    <t>Nom du Produit</t>
  </si>
  <si>
    <t>ref</t>
  </si>
  <si>
    <t>Unité</t>
  </si>
  <si>
    <t>Prix</t>
  </si>
  <si>
    <t>Date MAJ</t>
  </si>
  <si>
    <t>Stock</t>
  </si>
  <si>
    <t>1/2 Bressaola 1k5</t>
  </si>
  <si>
    <t>KG</t>
  </si>
  <si>
    <t>Andouille Campagnarde</t>
  </si>
  <si>
    <t>Bacon Kassler 9.69</t>
  </si>
  <si>
    <t>9.69</t>
  </si>
  <si>
    <t>Boudin Blanc aux Morilles 20Piece</t>
  </si>
  <si>
    <t>Boundin Blanc Fine Champagne</t>
  </si>
  <si>
    <t>Chipolatas Chèvre Miel 3. Piece</t>
  </si>
  <si>
    <t>ChipolataS Herbes 20 pce</t>
  </si>
  <si>
    <t xml:space="preserve">Chipolatas par 40 </t>
  </si>
  <si>
    <t>Chipolatas Piment Esp 20Pièces</t>
  </si>
  <si>
    <t>Chorizo a Cuir 20 Pce</t>
  </si>
  <si>
    <t xml:space="preserve">Chorizo Ibérico </t>
  </si>
  <si>
    <t>Chorizo Regop 1k6</t>
  </si>
  <si>
    <t xml:space="preserve">Coeur de Jambon Serrano </t>
  </si>
  <si>
    <t>Cofiolino 2k8</t>
  </si>
  <si>
    <t>Coppa Corse 1k5</t>
  </si>
  <si>
    <t>Coppa Parma 2KG</t>
  </si>
  <si>
    <t>Duc De coisse Rosette</t>
  </si>
  <si>
    <t>Emincé de Pastramis 300g x 4</t>
  </si>
  <si>
    <t>Gambas à L'ail 1kg7</t>
  </si>
  <si>
    <t>Gambas Au Curry Doux 1k9</t>
  </si>
  <si>
    <t>JAmbon Ficelle Fumé</t>
  </si>
  <si>
    <t xml:space="preserve">Jambon Fumé HdF </t>
  </si>
  <si>
    <t>Jambon Ibérique 12mois</t>
  </si>
  <si>
    <t>Jambon LE Noir de Bigorre</t>
  </si>
  <si>
    <t>Jambon Parme 14Mois</t>
  </si>
  <si>
    <t>Kg</t>
  </si>
  <si>
    <t>Jambon San Daniele 22 24 Mois</t>
  </si>
  <si>
    <t>Jesus 1k5</t>
  </si>
  <si>
    <t>Lonzo Corse 1KG</t>
  </si>
  <si>
    <t>Magret de Canard 350g</t>
  </si>
  <si>
    <t>Merano Speck 2KG</t>
  </si>
  <si>
    <t>Merguez Forte 20 pièces</t>
  </si>
  <si>
    <t>Mini Artichaud 1KG</t>
  </si>
  <si>
    <t>Mini Chorizo</t>
  </si>
  <si>
    <t>Mini Saucisse a Grille</t>
  </si>
  <si>
    <t>Mousse de foie 2k2</t>
  </si>
  <si>
    <t>Mousse de foie Champi 2k45</t>
  </si>
  <si>
    <t>Mozzarella Di Buffala 250g</t>
  </si>
  <si>
    <t>Piece</t>
  </si>
  <si>
    <t>Mrtadelle Italienne 7KG</t>
  </si>
  <si>
    <t xml:space="preserve">Noix de Jambon Fumé </t>
  </si>
  <si>
    <t>Pancetta Salé</t>
  </si>
  <si>
    <t>Pate Campagne 3,8Kg</t>
  </si>
  <si>
    <t>Pate de canard 2k2</t>
  </si>
  <si>
    <t>Pate de volaille a lestragon 3KG</t>
  </si>
  <si>
    <t>PAte en Croute Canard 2k</t>
  </si>
  <si>
    <t>Pate en croute veau 2k2</t>
  </si>
  <si>
    <t>Pave BOurguignons 3KG</t>
  </si>
  <si>
    <t xml:space="preserve">Pave Montagnard 2kg </t>
  </si>
  <si>
    <t>Petit Pate Campagne  300g</t>
  </si>
  <si>
    <t>Petit Pate FG Girolle 180g</t>
  </si>
  <si>
    <t>Poitrine Fumé Extra 3K5</t>
  </si>
  <si>
    <t>Queue Ecrevisse de Louisiane 1KG</t>
  </si>
  <si>
    <t>Rilette Poulet Roti</t>
  </si>
  <si>
    <t>Rillette Canard</t>
  </si>
  <si>
    <t>Roulade jambon Pistaché</t>
  </si>
  <si>
    <t>SAlade Gambas Medit 1KG7</t>
  </si>
  <si>
    <t>Saucisse de Toulouse 20Pieces</t>
  </si>
  <si>
    <t>Saucisse Fumé 8pièces</t>
  </si>
  <si>
    <t>Saucisson à l'il</t>
  </si>
  <si>
    <t>Terrine dPoulet Citron</t>
  </si>
  <si>
    <t>Terrinne Foie Girolles 2,35Kg</t>
  </si>
  <si>
    <t>Tomates Confite 1KG</t>
  </si>
  <si>
    <t>Total Produits en Stock :</t>
  </si>
  <si>
    <t>KITCHEN PRO</t>
  </si>
  <si>
    <t>Bouteille</t>
  </si>
  <si>
    <t>MAGIC MAXX2</t>
  </si>
  <si>
    <t>GREASECUTTER</t>
  </si>
  <si>
    <t>MAXX INTO C2</t>
  </si>
  <si>
    <t>OASIS PRO TOILET</t>
  </si>
  <si>
    <t>OASIS CLEAN 40</t>
  </si>
  <si>
    <t>OASIS PRO GLASS</t>
  </si>
  <si>
    <t>Polish Cleaner</t>
  </si>
  <si>
    <t>Solid Multi Lave Vaiselle</t>
  </si>
  <si>
    <t>Colis 4</t>
  </si>
  <si>
    <t>TopRinse</t>
  </si>
  <si>
    <t>Bidon</t>
  </si>
  <si>
    <t>STOCK TOTAL ECOLAB</t>
  </si>
  <si>
    <t>Conditionement</t>
  </si>
  <si>
    <t>L'EPICERIE</t>
  </si>
  <si>
    <t>Abricot Moelleux</t>
  </si>
  <si>
    <t>Abricot Oreillon Sirop</t>
  </si>
  <si>
    <t>820g</t>
  </si>
  <si>
    <t>Ail Semoule</t>
  </si>
  <si>
    <t>500g</t>
  </si>
  <si>
    <t>Pot</t>
  </si>
  <si>
    <t>Arome Patrelle</t>
  </si>
  <si>
    <t>1L</t>
  </si>
  <si>
    <t>Badiane Entiere</t>
  </si>
  <si>
    <t>1Kg</t>
  </si>
  <si>
    <t>Bouillon volaille</t>
  </si>
  <si>
    <t>750g</t>
  </si>
  <si>
    <t>Boite</t>
  </si>
  <si>
    <t>Canelle Moulue</t>
  </si>
  <si>
    <t>390g</t>
  </si>
  <si>
    <t>Capre</t>
  </si>
  <si>
    <t>800g</t>
  </si>
  <si>
    <t>cepes secher</t>
  </si>
  <si>
    <t>Cereales Gourmande Tipiak</t>
  </si>
  <si>
    <t>4,5Kg</t>
  </si>
  <si>
    <t>Sachet</t>
  </si>
  <si>
    <t>Cernaux noix</t>
  </si>
  <si>
    <t>Clous de Girofles</t>
  </si>
  <si>
    <t>165g</t>
  </si>
  <si>
    <t>Concentré Tomates 4/4</t>
  </si>
  <si>
    <t>Boite4/4</t>
  </si>
  <si>
    <t>Coriandre Graine</t>
  </si>
  <si>
    <t>230g</t>
  </si>
  <si>
    <t>Cumin Moulu</t>
  </si>
  <si>
    <t>400g</t>
  </si>
  <si>
    <t>Curry Kg Sachet</t>
  </si>
  <si>
    <t>1kg</t>
  </si>
  <si>
    <t>sachet</t>
  </si>
  <si>
    <t>Epice Cajun</t>
  </si>
  <si>
    <t>220g</t>
  </si>
  <si>
    <t>Escargot</t>
  </si>
  <si>
    <t>boite</t>
  </si>
  <si>
    <t>Fond Volaille Knor</t>
  </si>
  <si>
    <t>Graine Pavot</t>
  </si>
  <si>
    <t>Graine Chia</t>
  </si>
  <si>
    <t>Graine courge</t>
  </si>
  <si>
    <t>Graisse Canard</t>
  </si>
  <si>
    <t>3.5kg</t>
  </si>
  <si>
    <t>Herbes de Provence</t>
  </si>
  <si>
    <t>Huile Noisette</t>
  </si>
  <si>
    <t>500ml</t>
  </si>
  <si>
    <t>bouteille</t>
  </si>
  <si>
    <t>Huile Tournesol 1L</t>
  </si>
  <si>
    <t>Huile Tournesol 5L</t>
  </si>
  <si>
    <t>5L</t>
  </si>
  <si>
    <t>bidon</t>
  </si>
  <si>
    <t>Huiles Olives Extra</t>
  </si>
  <si>
    <t>Lait Amande</t>
  </si>
  <si>
    <t>Lentille Corail</t>
  </si>
  <si>
    <t>2,5Kg</t>
  </si>
  <si>
    <t>Miel</t>
  </si>
  <si>
    <t>mini fond carré</t>
  </si>
  <si>
    <t>225Portion</t>
  </si>
  <si>
    <t>Carton</t>
  </si>
  <si>
    <t>MiniFond Rond</t>
  </si>
  <si>
    <t>200Portion</t>
  </si>
  <si>
    <t>Mise en place Pesto Rouge</t>
  </si>
  <si>
    <t>340g</t>
  </si>
  <si>
    <t>Mix Oriental Kebab</t>
  </si>
  <si>
    <t>240g</t>
  </si>
  <si>
    <t>Muscade Pourdre</t>
  </si>
  <si>
    <t>Olives Kalmata</t>
  </si>
  <si>
    <t xml:space="preserve">1Kg </t>
  </si>
  <si>
    <t>Bocal</t>
  </si>
  <si>
    <t>panko</t>
  </si>
  <si>
    <t>Poivre Blanc</t>
  </si>
  <si>
    <t>Poivre Mignonnette</t>
  </si>
  <si>
    <t>420g</t>
  </si>
  <si>
    <t xml:space="preserve">Quinoa </t>
  </si>
  <si>
    <t>raifort</t>
  </si>
  <si>
    <t>140g</t>
  </si>
  <si>
    <t>Raz el Hanout</t>
  </si>
  <si>
    <t>215g</t>
  </si>
  <si>
    <t>Riz Rouge</t>
  </si>
  <si>
    <t>Sauce Barbecue</t>
  </si>
  <si>
    <t>900g</t>
  </si>
  <si>
    <t>Sauce Soja Yagisawa</t>
  </si>
  <si>
    <t>1,8L</t>
  </si>
  <si>
    <t>Sirop Erable 1L</t>
  </si>
  <si>
    <t>Tag Noir</t>
  </si>
  <si>
    <t>1Kg Sachet</t>
  </si>
  <si>
    <t>Thon Listao</t>
  </si>
  <si>
    <t>650g</t>
  </si>
  <si>
    <t>Tomate confite</t>
  </si>
  <si>
    <t>Trompette de la mort</t>
  </si>
  <si>
    <t>2L</t>
  </si>
  <si>
    <t xml:space="preserve">Vinaigre Blanc </t>
  </si>
  <si>
    <t>1,5L</t>
  </si>
  <si>
    <t>Wasabi</t>
  </si>
  <si>
    <t>50g</t>
  </si>
  <si>
    <t>TOTAL EPICERIE</t>
  </si>
  <si>
    <t>LES PRODUITS FRAIS</t>
  </si>
  <si>
    <t>Abondance</t>
  </si>
  <si>
    <t>1K/1KG5</t>
  </si>
  <si>
    <t>Activia</t>
  </si>
  <si>
    <t>1KG</t>
  </si>
  <si>
    <t>Bleue Laguille</t>
  </si>
  <si>
    <t>625g</t>
  </si>
  <si>
    <t xml:space="preserve">Brie </t>
  </si>
  <si>
    <t>3Kg</t>
  </si>
  <si>
    <t>chaource</t>
  </si>
  <si>
    <t>250g</t>
  </si>
  <si>
    <t>Comté</t>
  </si>
  <si>
    <t>2Kg</t>
  </si>
  <si>
    <t>Creme Isgny 40%</t>
  </si>
  <si>
    <t>5KG</t>
  </si>
  <si>
    <t>Creme UHT 18%</t>
  </si>
  <si>
    <t>L</t>
  </si>
  <si>
    <t>creme vall</t>
  </si>
  <si>
    <t xml:space="preserve">Feuille brick </t>
  </si>
  <si>
    <t>170g</t>
  </si>
  <si>
    <t>Paquet</t>
  </si>
  <si>
    <t>Fleur D'audressel</t>
  </si>
  <si>
    <t>450g</t>
  </si>
  <si>
    <t>Livarot</t>
  </si>
  <si>
    <t>Maroille</t>
  </si>
  <si>
    <t>Mascarpone</t>
  </si>
  <si>
    <t>Mel Mozza/Emment</t>
  </si>
  <si>
    <t>Pavé de Calais</t>
  </si>
  <si>
    <t>Sablé Wissant 400g</t>
  </si>
  <si>
    <t>St Maure de Tourraine/p</t>
  </si>
  <si>
    <t>3 x 250g</t>
  </si>
  <si>
    <t>St Moret</t>
  </si>
  <si>
    <t>Barquette</t>
  </si>
  <si>
    <t>st nectaire</t>
  </si>
  <si>
    <t>1k8</t>
  </si>
  <si>
    <t>Tomette Brebis</t>
  </si>
  <si>
    <t>Tomme de Beauge</t>
  </si>
  <si>
    <t>1,1 1,4kg</t>
  </si>
  <si>
    <t>TOTAL PRODUITS FRAIS</t>
  </si>
  <si>
    <t>Viandes &amp; Charcuterie</t>
  </si>
  <si>
    <t>Filet de Boeuf</t>
  </si>
  <si>
    <t>2KG2KG5</t>
  </si>
  <si>
    <t>Bourguignon</t>
  </si>
  <si>
    <t>2KG</t>
  </si>
  <si>
    <t>Aiguilette Canard</t>
  </si>
  <si>
    <t>500g surg</t>
  </si>
  <si>
    <t>Carré Agneau</t>
  </si>
  <si>
    <t>kg</t>
  </si>
  <si>
    <t>Carré Porcelet</t>
  </si>
  <si>
    <t>1.9Kg</t>
  </si>
  <si>
    <t>Creme Foie 1/2Lune</t>
  </si>
  <si>
    <t>2.1kg</t>
  </si>
  <si>
    <t>Epaule Agneau</t>
  </si>
  <si>
    <t>Epaule Porcelet</t>
  </si>
  <si>
    <t>Filet Poulet cru</t>
  </si>
  <si>
    <t>35 portion</t>
  </si>
  <si>
    <t>Foie Gras Surg</t>
  </si>
  <si>
    <t>3KG</t>
  </si>
  <si>
    <t xml:space="preserve">Magret Canard </t>
  </si>
  <si>
    <t>15 pièces</t>
  </si>
  <si>
    <t>Mignon de porc</t>
  </si>
  <si>
    <t>Mignon de Veau</t>
  </si>
  <si>
    <t>1.1kg</t>
  </si>
  <si>
    <t>Pad Rumsteak Eclaté</t>
  </si>
  <si>
    <t>2.5kg</t>
  </si>
  <si>
    <t>Pointrine entiere</t>
  </si>
  <si>
    <t>pointrine Tranché</t>
  </si>
  <si>
    <t>Poule</t>
  </si>
  <si>
    <t>1k15</t>
  </si>
  <si>
    <t>Quasi Veau 160g</t>
  </si>
  <si>
    <t>10x160g</t>
  </si>
  <si>
    <t xml:space="preserve">Roti de Dinde </t>
  </si>
  <si>
    <t>Rosette non tranché 2161</t>
  </si>
  <si>
    <t>2k5</t>
  </si>
  <si>
    <t>saucisse canard</t>
  </si>
  <si>
    <t>1k2</t>
  </si>
  <si>
    <t>saute porc</t>
  </si>
  <si>
    <t>Saute Veau</t>
  </si>
  <si>
    <t>2kg</t>
  </si>
  <si>
    <t>Supreme Pintade</t>
  </si>
  <si>
    <t>20portions</t>
  </si>
  <si>
    <t>Supreme Volaille</t>
  </si>
  <si>
    <t>3kg</t>
  </si>
  <si>
    <t>TOTAL PRODUITS VIANDES CHARCUTERIE</t>
  </si>
  <si>
    <t xml:space="preserve">LES SURGELES </t>
  </si>
  <si>
    <t>Ris veau coeur</t>
  </si>
  <si>
    <t>St Jacque Coquille</t>
  </si>
  <si>
    <t>Petit pois</t>
  </si>
  <si>
    <t>Lasagne</t>
  </si>
  <si>
    <t>50 portions</t>
  </si>
  <si>
    <t>Pain Suedois Rond</t>
  </si>
  <si>
    <t>96  Portions</t>
  </si>
  <si>
    <t>5 plaques</t>
  </si>
  <si>
    <t>Plaques</t>
  </si>
  <si>
    <t>20 Plaques</t>
  </si>
  <si>
    <t>Epinard Branche/kg</t>
  </si>
  <si>
    <t>Escaloppe Foie Gras</t>
  </si>
  <si>
    <t>20esc 50g</t>
  </si>
  <si>
    <t>Framboise surg</t>
  </si>
  <si>
    <t>Sac 2.5kg</t>
  </si>
  <si>
    <t>Frite</t>
  </si>
  <si>
    <t>marrons</t>
  </si>
  <si>
    <t>Mirabelle Surg</t>
  </si>
  <si>
    <t>TOTALS PRODUITS SURGELES</t>
  </si>
  <si>
    <t>LES POISSONS</t>
  </si>
  <si>
    <t>Saumon fumé</t>
  </si>
  <si>
    <t>1kg3</t>
  </si>
  <si>
    <t>Saumon Norvege</t>
  </si>
  <si>
    <t>1k5 1k9</t>
  </si>
  <si>
    <t>st jack perou</t>
  </si>
  <si>
    <t>St Jacque Fr</t>
  </si>
  <si>
    <t>2kg (70 noix)</t>
  </si>
  <si>
    <t>Thon</t>
  </si>
  <si>
    <t>3 4kg</t>
  </si>
  <si>
    <t>queue crevette Papillon surg</t>
  </si>
  <si>
    <t>Daurade Sug</t>
  </si>
  <si>
    <t>TOTAL PRODUITS POISSONS</t>
  </si>
  <si>
    <t>Total Produits Stock Transgourmet</t>
  </si>
  <si>
    <t>B.O.F</t>
  </si>
  <si>
    <t>Fromage Blanc isigny</t>
  </si>
  <si>
    <t>5K</t>
  </si>
  <si>
    <t>Seau</t>
  </si>
  <si>
    <t>Parmesan Rapé</t>
  </si>
  <si>
    <t>Brie Meaux Aop</t>
  </si>
  <si>
    <t xml:space="preserve">750g </t>
  </si>
  <si>
    <t>Roue</t>
  </si>
  <si>
    <t>Ecume wirmereux 200g</t>
  </si>
  <si>
    <t>200g</t>
  </si>
  <si>
    <t>chevre long 180g</t>
  </si>
  <si>
    <t>180g</t>
  </si>
  <si>
    <t>Fort d'ambleuteuse</t>
  </si>
  <si>
    <t>Pièce</t>
  </si>
  <si>
    <t>Gouda</t>
  </si>
  <si>
    <t>300g</t>
  </si>
  <si>
    <t>Mimolette boule</t>
  </si>
  <si>
    <t>1,9Kg</t>
  </si>
  <si>
    <t>Mimolette Extra veille</t>
  </si>
  <si>
    <t>Ossau iraty</t>
  </si>
  <si>
    <t>Pavé Leffe</t>
  </si>
  <si>
    <t>3,23Kg</t>
  </si>
  <si>
    <t>Reblochon</t>
  </si>
  <si>
    <t xml:space="preserve">Viandes &amp; Charcuteries </t>
  </si>
  <si>
    <t>Mortadelle</t>
  </si>
  <si>
    <t>5,9Kg</t>
  </si>
  <si>
    <t>Saucisse Fumé</t>
  </si>
  <si>
    <t>125g</t>
  </si>
  <si>
    <t>Saucisse Montbéliard</t>
  </si>
  <si>
    <t>120g</t>
  </si>
  <si>
    <t>Saucisson du marin</t>
  </si>
  <si>
    <t>700g/1.5kg</t>
  </si>
  <si>
    <t>6 pièces</t>
  </si>
  <si>
    <t>Carré de Porc</t>
  </si>
  <si>
    <t>Entrecote de veau</t>
  </si>
  <si>
    <t>1,2 1,6Kg</t>
  </si>
  <si>
    <t>saucisson ail Fumé</t>
  </si>
  <si>
    <t>Magret de Canard Fumé</t>
  </si>
  <si>
    <t>280g</t>
  </si>
  <si>
    <t>Poissons</t>
  </si>
  <si>
    <t>Boite 450g</t>
  </si>
  <si>
    <t>Surgelé</t>
  </si>
  <si>
    <t>Carton 180</t>
  </si>
  <si>
    <t xml:space="preserve">Carton </t>
  </si>
  <si>
    <t>Pain Suédois</t>
  </si>
  <si>
    <t>Carton 84Piece</t>
  </si>
  <si>
    <t>STOCK POMONA</t>
  </si>
  <si>
    <t>Abricot sec</t>
  </si>
  <si>
    <t>Abricot Sirop 4/4</t>
  </si>
  <si>
    <t>4 4</t>
  </si>
  <si>
    <t>Ail Noir</t>
  </si>
  <si>
    <t>g</t>
  </si>
  <si>
    <t>Baie goji EDC sac 200G</t>
  </si>
  <si>
    <t>Beurre Cacahuète</t>
  </si>
  <si>
    <t xml:space="preserve">Bouillon dashi </t>
  </si>
  <si>
    <t>60g</t>
  </si>
  <si>
    <t>60G</t>
  </si>
  <si>
    <t>Cacahuete Grillé</t>
  </si>
  <si>
    <t>Capron</t>
  </si>
  <si>
    <t>Cardamome</t>
  </si>
  <si>
    <t>100g</t>
  </si>
  <si>
    <t>chapelure blanche</t>
  </si>
  <si>
    <t>Coriandre entiere</t>
  </si>
  <si>
    <t>POT</t>
  </si>
  <si>
    <t>2.45KG</t>
  </si>
  <si>
    <t>BOCAL</t>
  </si>
  <si>
    <t>Cornichon Bfroid</t>
  </si>
  <si>
    <t>5 1</t>
  </si>
  <si>
    <t>Creme Balsamique</t>
  </si>
  <si>
    <t>40cl</t>
  </si>
  <si>
    <t>Pipette</t>
  </si>
  <si>
    <t>crozet</t>
  </si>
  <si>
    <t>Curry boite</t>
  </si>
  <si>
    <t>440g</t>
  </si>
  <si>
    <t>Curry celtique EDC</t>
  </si>
  <si>
    <t>Curry Madras EDC</t>
  </si>
  <si>
    <t xml:space="preserve">Curry vert EDC </t>
  </si>
  <si>
    <t>Ebly</t>
  </si>
  <si>
    <t>5Kg</t>
  </si>
  <si>
    <t>Fenouil Entier</t>
  </si>
  <si>
    <t>260g</t>
  </si>
  <si>
    <t xml:space="preserve">Feve Tonka EDC </t>
  </si>
  <si>
    <t>Figues</t>
  </si>
  <si>
    <t xml:space="preserve">Graine Tournesol </t>
  </si>
  <si>
    <t>Gras de Boeuf</t>
  </si>
  <si>
    <t>10kg</t>
  </si>
  <si>
    <t>Huile Friture 7L</t>
  </si>
  <si>
    <t>7L5</t>
  </si>
  <si>
    <t>BIDON</t>
  </si>
  <si>
    <t xml:space="preserve">Jus citr yuzu </t>
  </si>
  <si>
    <t>360ml</t>
  </si>
  <si>
    <t>ML</t>
  </si>
  <si>
    <t>Jus veau 40L</t>
  </si>
  <si>
    <t>Kecthup Colona</t>
  </si>
  <si>
    <t>3L</t>
  </si>
  <si>
    <t>Lait coco 500ml</t>
  </si>
  <si>
    <t xml:space="preserve">Lingot du nord </t>
  </si>
  <si>
    <t>2,5kg</t>
  </si>
  <si>
    <t>Linguine Maestro</t>
  </si>
  <si>
    <t>Macaroni</t>
  </si>
  <si>
    <t xml:space="preserve">Mel 5 baie ent </t>
  </si>
  <si>
    <t>130g</t>
  </si>
  <si>
    <t>Melange Thai</t>
  </si>
  <si>
    <t>pot</t>
  </si>
  <si>
    <t>Mini Fond Rect Filigrano</t>
  </si>
  <si>
    <t xml:space="preserve">150pièce </t>
  </si>
  <si>
    <t>Moutarde à l'ancienne</t>
  </si>
  <si>
    <t>5kg</t>
  </si>
  <si>
    <t>Olives Noir 4/4</t>
  </si>
  <si>
    <t xml:space="preserve">4 4 </t>
  </si>
  <si>
    <t>Pate Ail Noir</t>
  </si>
  <si>
    <t>Poivre fume Tellichery</t>
  </si>
  <si>
    <t>Poivre gr nr Malabar</t>
  </si>
  <si>
    <t xml:space="preserve">Poivre gr rge Kampot </t>
  </si>
  <si>
    <t>160g</t>
  </si>
  <si>
    <t>Prep miso EDC pdre</t>
  </si>
  <si>
    <t>Purée 3 Poivres</t>
  </si>
  <si>
    <t>Purée Curry</t>
  </si>
  <si>
    <t>Purée Gimgembre</t>
  </si>
  <si>
    <t>Riz Long</t>
  </si>
  <si>
    <t>Riz Risotto</t>
  </si>
  <si>
    <t>2,5KG</t>
  </si>
  <si>
    <t>Salade de Fleur</t>
  </si>
  <si>
    <t>Sauce Terriaki</t>
  </si>
  <si>
    <t>savora</t>
  </si>
  <si>
    <t>385g</t>
  </si>
  <si>
    <t>Sce Ponzu yuzu</t>
  </si>
  <si>
    <t>Schiracha</t>
  </si>
  <si>
    <t>730L</t>
  </si>
  <si>
    <t xml:space="preserve">Sel drakkar </t>
  </si>
  <si>
    <t xml:space="preserve">Sel fou herbe epice </t>
  </si>
  <si>
    <t>Semoule Couscous 5kg</t>
  </si>
  <si>
    <t>sesame 1kg</t>
  </si>
  <si>
    <t>Sesame gr dore</t>
  </si>
  <si>
    <t>Sarassin</t>
  </si>
  <si>
    <t xml:space="preserve">Sesame gr noir </t>
  </si>
  <si>
    <t>Sirop Erable 450</t>
  </si>
  <si>
    <t>450ML</t>
  </si>
  <si>
    <t>Flacon</t>
  </si>
  <si>
    <t>Tabasco</t>
  </si>
  <si>
    <t>60ML</t>
  </si>
  <si>
    <t>Tagliatelle</t>
  </si>
  <si>
    <t xml:space="preserve">The vrt Matcha </t>
  </si>
  <si>
    <t>115G</t>
  </si>
  <si>
    <t>Vinaigre Cidre</t>
  </si>
  <si>
    <t>Vinaigre Framboise</t>
  </si>
  <si>
    <t>Vinaigre Riz</t>
  </si>
  <si>
    <t>500ML</t>
  </si>
  <si>
    <t>Zita paq 500G De Cecco</t>
  </si>
  <si>
    <t>Paquet/KG</t>
  </si>
  <si>
    <t>sac sousvide 15.30</t>
  </si>
  <si>
    <t>Poche</t>
  </si>
  <si>
    <t>Sac sous vide 40.60</t>
  </si>
  <si>
    <t>TOTAL STOCK EPISAVEUR</t>
  </si>
  <si>
    <t>25Kg</t>
  </si>
  <si>
    <t>Motte</t>
  </si>
  <si>
    <t>Purée Mangue</t>
  </si>
  <si>
    <t>Purée Mandarine</t>
  </si>
  <si>
    <t>Fromage Tranche</t>
  </si>
  <si>
    <t>Poudre Amandes</t>
  </si>
  <si>
    <t>Poudre Noisettes</t>
  </si>
  <si>
    <t>Graine</t>
  </si>
  <si>
    <t>Sucre Glace</t>
  </si>
  <si>
    <t>Pavot Bleue</t>
  </si>
  <si>
    <t>Sésame</t>
  </si>
  <si>
    <t>Noisette entiere</t>
  </si>
  <si>
    <t>Fleur de Carthame</t>
  </si>
  <si>
    <t>Huilé Basilic</t>
  </si>
  <si>
    <t>Savo Orange Sanguine</t>
  </si>
  <si>
    <t>Vin Jaune</t>
  </si>
  <si>
    <t>Mix Guacamole</t>
  </si>
  <si>
    <t>Arome Café</t>
  </si>
  <si>
    <t>Mini Poire</t>
  </si>
  <si>
    <t>Tapenade</t>
  </si>
  <si>
    <t>Porto</t>
  </si>
  <si>
    <t>Armagnac</t>
  </si>
  <si>
    <t>Huile Fumé</t>
  </si>
  <si>
    <t>STOCK PRODUITS PATISSERIE</t>
  </si>
  <si>
    <t>Suprême de Poulet</t>
  </si>
  <si>
    <t>Poulet Standard</t>
  </si>
  <si>
    <t>TOTAL STOCK Pollet</t>
  </si>
  <si>
    <t>DOS CABILLAUD</t>
  </si>
  <si>
    <t>Colis 3KG</t>
  </si>
  <si>
    <t>FILET SAUMON ECOSSE LABEL R</t>
  </si>
  <si>
    <t>Colis 15Kg</t>
  </si>
  <si>
    <t>DOS LIEU NOIR</t>
  </si>
  <si>
    <t>CHAIR CRABE</t>
  </si>
  <si>
    <t>454g</t>
  </si>
  <si>
    <t>SAUMON FUME ECOSSE TRANC</t>
  </si>
  <si>
    <t>Filet</t>
  </si>
  <si>
    <t>NOIX ST JACQUES NON FR</t>
  </si>
  <si>
    <t>TOTAL STOCK GOELAND</t>
  </si>
  <si>
    <t>noix de dt jack ecosse</t>
  </si>
  <si>
    <t>filet eiglefin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</si>
</sst>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D7D3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2" borderId="1" xfId="1" applyFont="1" applyFill="1" applyBorder="1" applyAlignment="1">
      <alignment wrapText="1"/>
    </xf>
    <xf numFmtId="17" fontId="0" fillId="0" borderId="0" xfId="0" applyNumberFormat="1"/>
    <xf numFmtId="0" fontId="0" fillId="4" borderId="0" xfId="0" applyFill="1"/>
    <xf numFmtId="17" fontId="0" fillId="4" borderId="0" xfId="0" applyNumberFormat="1" applyFill="1"/>
    <xf numFmtId="0" fontId="0" fillId="0" borderId="0" xfId="0" applyAlignment="1"/>
    <xf numFmtId="16" fontId="0" fillId="0" borderId="0" xfId="0" applyNumberFormat="1"/>
    <xf numFmtId="0" fontId="0" fillId="2" borderId="1" xfId="0" applyFill="1" applyBorder="1"/>
    <xf numFmtId="0" fontId="0" fillId="0" borderId="2" xfId="0" applyBorder="1"/>
    <xf numFmtId="0" fontId="0" fillId="2" borderId="0" xfId="0" applyFill="1"/>
    <xf numFmtId="0" fontId="0" fillId="2" borderId="2" xfId="0" applyFill="1" applyBorder="1"/>
    <xf numFmtId="0" fontId="0" fillId="0" borderId="0" xfId="0" applyBorder="1"/>
    <xf numFmtId="0" fontId="0" fillId="2" borderId="0" xfId="0" applyFill="1" applyBorder="1"/>
    <xf numFmtId="0" fontId="5" fillId="5" borderId="0" xfId="0" applyFont="1" applyFill="1"/>
    <xf numFmtId="0" fontId="0" fillId="5" borderId="0" xfId="0" applyFill="1"/>
    <xf numFmtId="0" fontId="0" fillId="5" borderId="1" xfId="0" applyFill="1" applyBorder="1"/>
    <xf numFmtId="0" fontId="0" fillId="5" borderId="2" xfId="0" applyFill="1" applyBorder="1"/>
    <xf numFmtId="0" fontId="0" fillId="5" borderId="0" xfId="0" applyFill="1" applyBorder="1"/>
    <xf numFmtId="0" fontId="4" fillId="2" borderId="1" xfId="0" applyFont="1" applyFill="1" applyBorder="1"/>
    <xf numFmtId="0" fontId="3" fillId="2" borderId="1" xfId="0" applyFont="1" applyFill="1" applyBorder="1"/>
    <xf numFmtId="0" fontId="0" fillId="0" borderId="0" xfId="0" applyAlignment="1">
      <alignment horizontal="center"/>
    </xf>
    <xf numFmtId="0" fontId="1" fillId="0" borderId="0" xfId="0" applyFont="1" applyBorder="1"/>
    <xf numFmtId="0" fontId="0" fillId="3" borderId="0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5" fillId="5" borderId="0" xfId="0" applyFont="1" applyFill="1" applyAlignment="1">
      <alignment horizontal="center"/>
    </xf>
    <xf numFmtId="0" fontId="3" fillId="5" borderId="0" xfId="0" applyFont="1" applyFill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0" xfId="0" applyFill="1" applyBorder="1" applyAlignment="1">
      <alignment horizontal="left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07C49-9678-4A3E-8BE4-07F38502FD59}">
  <dimension ref="A1:F26"/>
  <sheetViews>
    <sheetView workbookViewId="0">
      <selection activeCell="E10" sqref="E10"/>
    </sheetView>
  </sheetViews>
  <sheetFormatPr defaultRowHeight="15" x14ac:dyDescent="0.2"/>
  <cols>
    <col min="1" max="1" width="15.87109375" customWidth="1"/>
    <col min="2" max="2" width="4.83984375" customWidth="1"/>
    <col min="3" max="3" width="15.19921875" customWidth="1"/>
    <col min="4" max="4" width="4.3046875" customWidth="1"/>
    <col min="5" max="5" width="19.1015625" customWidth="1"/>
    <col min="6" max="6" width="4.5703125" customWidth="1"/>
  </cols>
  <sheetData>
    <row r="1" spans="1:6" x14ac:dyDescent="0.2">
      <c r="A1" s="25" t="s">
        <v>0</v>
      </c>
      <c r="B1" s="25"/>
      <c r="C1" s="25"/>
      <c r="D1" s="25"/>
      <c r="E1" s="25"/>
      <c r="F1" s="25"/>
    </row>
    <row r="2" spans="1:6" x14ac:dyDescent="0.2">
      <c r="A2" s="2" t="s">
        <v>1</v>
      </c>
      <c r="B2" s="2"/>
      <c r="C2" s="2" t="s">
        <v>2</v>
      </c>
      <c r="D2" s="2"/>
      <c r="E2" s="2" t="s">
        <v>3</v>
      </c>
      <c r="F2" s="2"/>
    </row>
    <row r="3" spans="1:6" x14ac:dyDescent="0.2">
      <c r="A3" s="1" t="s">
        <v>4</v>
      </c>
      <c r="B3" s="2"/>
      <c r="C3" s="1" t="s">
        <v>5</v>
      </c>
      <c r="D3" s="2"/>
      <c r="E3" s="1" t="s">
        <v>6</v>
      </c>
      <c r="F3" s="2"/>
    </row>
    <row r="4" spans="1:6" x14ac:dyDescent="0.2">
      <c r="A4" s="1" t="s">
        <v>7</v>
      </c>
      <c r="B4" s="2"/>
      <c r="C4" s="2" t="s">
        <v>8</v>
      </c>
      <c r="D4" s="2"/>
      <c r="E4" s="1" t="s">
        <v>9</v>
      </c>
      <c r="F4" s="2"/>
    </row>
    <row r="5" spans="1:6" x14ac:dyDescent="0.2">
      <c r="A5" s="1" t="s">
        <v>10</v>
      </c>
      <c r="B5" s="2"/>
      <c r="C5" s="2" t="s">
        <v>11</v>
      </c>
      <c r="D5" s="2"/>
      <c r="E5" s="1" t="s">
        <v>12</v>
      </c>
      <c r="F5" s="2"/>
    </row>
    <row r="6" spans="1:6" x14ac:dyDescent="0.2">
      <c r="A6" s="1" t="s">
        <v>13</v>
      </c>
      <c r="B6" s="2"/>
      <c r="C6" s="2" t="s">
        <v>14</v>
      </c>
      <c r="D6" s="2"/>
      <c r="E6" s="1" t="s">
        <v>15</v>
      </c>
      <c r="F6" s="2"/>
    </row>
    <row r="7" spans="1:6" x14ac:dyDescent="0.2">
      <c r="A7" s="1" t="s">
        <v>16</v>
      </c>
      <c r="B7" s="2"/>
      <c r="C7" s="2" t="s">
        <v>17</v>
      </c>
      <c r="D7" s="2"/>
      <c r="E7" s="1" t="s">
        <v>18</v>
      </c>
      <c r="F7" s="2"/>
    </row>
    <row r="8" spans="1:6" x14ac:dyDescent="0.2">
      <c r="A8" s="1" t="s">
        <v>19</v>
      </c>
      <c r="B8" s="2"/>
      <c r="C8" s="2" t="s">
        <v>20</v>
      </c>
      <c r="D8" s="2"/>
      <c r="E8" s="1" t="s">
        <v>21</v>
      </c>
      <c r="F8" s="2"/>
    </row>
    <row r="9" spans="1:6" x14ac:dyDescent="0.2">
      <c r="A9" s="1" t="s">
        <v>22</v>
      </c>
      <c r="B9" s="2"/>
      <c r="C9" s="2" t="s">
        <v>23</v>
      </c>
      <c r="D9" s="2"/>
      <c r="E9" s="1" t="s">
        <v>24</v>
      </c>
      <c r="F9" s="2"/>
    </row>
    <row r="10" spans="1:6" x14ac:dyDescent="0.2">
      <c r="A10" s="1" t="s">
        <v>25</v>
      </c>
      <c r="B10" s="2"/>
      <c r="C10" s="2" t="s">
        <v>26</v>
      </c>
      <c r="D10" s="2"/>
      <c r="E10" s="2" t="s">
        <v>27</v>
      </c>
      <c r="F10" s="2"/>
    </row>
    <row r="11" spans="1:6" x14ac:dyDescent="0.2">
      <c r="A11" s="1" t="s">
        <v>28</v>
      </c>
      <c r="B11" s="2"/>
      <c r="C11" s="2" t="s">
        <v>29</v>
      </c>
      <c r="D11" s="2"/>
      <c r="E11" s="2" t="s">
        <v>30</v>
      </c>
      <c r="F11" s="2"/>
    </row>
    <row r="12" spans="1:6" x14ac:dyDescent="0.2">
      <c r="A12" s="1" t="s">
        <v>31</v>
      </c>
      <c r="B12" s="2"/>
      <c r="C12" s="2" t="s">
        <v>32</v>
      </c>
      <c r="D12" s="2"/>
      <c r="E12" s="2" t="s">
        <v>33</v>
      </c>
      <c r="F12" s="2"/>
    </row>
    <row r="13" spans="1:6" x14ac:dyDescent="0.2">
      <c r="A13" s="2" t="s">
        <v>34</v>
      </c>
      <c r="B13" s="2"/>
      <c r="C13" s="2"/>
      <c r="D13" s="2"/>
      <c r="E13" s="2" t="s">
        <v>35</v>
      </c>
      <c r="F13" s="2"/>
    </row>
    <row r="14" spans="1:6" x14ac:dyDescent="0.2">
      <c r="A14" s="2" t="s">
        <v>36</v>
      </c>
      <c r="B14" s="2"/>
      <c r="C14" s="2" t="s">
        <v>37</v>
      </c>
      <c r="D14" s="2"/>
      <c r="E14" s="2" t="s">
        <v>38</v>
      </c>
      <c r="F14" s="2"/>
    </row>
    <row r="15" spans="1:6" x14ac:dyDescent="0.2">
      <c r="A15" s="2"/>
      <c r="B15" s="2"/>
      <c r="C15" s="1" t="s">
        <v>39</v>
      </c>
      <c r="D15" s="2"/>
      <c r="E15" s="2" t="s">
        <v>40</v>
      </c>
      <c r="F15" s="2"/>
    </row>
    <row r="16" spans="1:6" x14ac:dyDescent="0.2">
      <c r="A16" s="2" t="s">
        <v>41</v>
      </c>
      <c r="B16" s="2"/>
      <c r="C16" s="1" t="s">
        <v>42</v>
      </c>
      <c r="D16" s="2"/>
      <c r="E16" s="2" t="s">
        <v>43</v>
      </c>
      <c r="F16" s="2"/>
    </row>
    <row r="17" spans="1:6" x14ac:dyDescent="0.2">
      <c r="A17" s="2" t="s">
        <v>44</v>
      </c>
      <c r="B17" s="2"/>
      <c r="C17" s="1" t="s">
        <v>45</v>
      </c>
      <c r="D17" s="2"/>
      <c r="E17" s="2" t="s">
        <v>46</v>
      </c>
      <c r="F17" s="2"/>
    </row>
    <row r="18" spans="1:6" x14ac:dyDescent="0.2">
      <c r="A18" s="2" t="s">
        <v>47</v>
      </c>
      <c r="B18" s="2"/>
      <c r="C18" s="1" t="s">
        <v>48</v>
      </c>
      <c r="D18" s="2"/>
      <c r="E18" s="2" t="s">
        <v>49</v>
      </c>
      <c r="F18" s="2"/>
    </row>
    <row r="19" spans="1:6" x14ac:dyDescent="0.2">
      <c r="A19" s="2" t="s">
        <v>50</v>
      </c>
      <c r="B19" s="2"/>
      <c r="C19" s="1" t="s">
        <v>51</v>
      </c>
      <c r="D19" s="2"/>
      <c r="E19" s="2" t="s">
        <v>52</v>
      </c>
      <c r="F19" s="2"/>
    </row>
    <row r="20" spans="1:6" x14ac:dyDescent="0.2">
      <c r="A20" s="2" t="s">
        <v>53</v>
      </c>
      <c r="B20" s="2"/>
      <c r="C20" s="1" t="s">
        <v>54</v>
      </c>
      <c r="D20" s="2"/>
      <c r="E20" s="2"/>
      <c r="F20" s="2"/>
    </row>
    <row r="21" spans="1:6" x14ac:dyDescent="0.2">
      <c r="A21" s="2" t="s">
        <v>55</v>
      </c>
      <c r="B21" s="2"/>
      <c r="C21" s="1" t="s">
        <v>56</v>
      </c>
      <c r="D21" s="2"/>
      <c r="E21" s="2" t="s">
        <v>57</v>
      </c>
      <c r="F21" s="2"/>
    </row>
    <row r="22" spans="1:6" x14ac:dyDescent="0.2">
      <c r="A22" s="2" t="s">
        <v>58</v>
      </c>
      <c r="B22" s="2"/>
      <c r="C22" s="2" t="s">
        <v>59</v>
      </c>
      <c r="D22" s="2"/>
      <c r="E22" s="1"/>
      <c r="F22" s="2"/>
    </row>
    <row r="23" spans="1:6" x14ac:dyDescent="0.2">
      <c r="A23" s="1"/>
      <c r="B23" s="2"/>
      <c r="C23" s="2" t="s">
        <v>60</v>
      </c>
      <c r="D23" s="2"/>
      <c r="E23" s="1" t="s">
        <v>61</v>
      </c>
      <c r="F23" s="2"/>
    </row>
    <row r="24" spans="1:6" x14ac:dyDescent="0.2">
      <c r="A24" s="1"/>
      <c r="B24" s="2"/>
      <c r="C24" s="2" t="s">
        <v>62</v>
      </c>
      <c r="D24" s="2"/>
      <c r="E24" s="1" t="s">
        <v>63</v>
      </c>
      <c r="F24" s="2"/>
    </row>
    <row r="25" spans="1:6" x14ac:dyDescent="0.2">
      <c r="A25" s="2"/>
      <c r="B25" s="2"/>
      <c r="C25" s="1" t="s">
        <v>64</v>
      </c>
      <c r="D25" s="2"/>
      <c r="E25" s="1" t="s">
        <v>65</v>
      </c>
      <c r="F25" s="2"/>
    </row>
    <row r="26" spans="1:6" x14ac:dyDescent="0.2">
      <c r="A26" s="2"/>
      <c r="B26" s="2"/>
      <c r="C26" s="1" t="s">
        <v>66</v>
      </c>
      <c r="D26" s="2"/>
      <c r="E26" s="1" t="s">
        <v>67</v>
      </c>
      <c r="F26" s="2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161E-C3BD-4C46-B302-3960384C5EAB}">
  <dimension ref="A1:E14"/>
  <sheetViews>
    <sheetView workbookViewId="0">
      <selection activeCell="F7" sqref="F7"/>
    </sheetView>
  </sheetViews>
  <sheetFormatPr defaultRowHeight="15" x14ac:dyDescent="0.2"/>
  <cols>
    <col min="1" max="1" width="22.59765625" customWidth="1"/>
    <col min="2" max="2" width="21.1171875" customWidth="1"/>
  </cols>
  <sheetData>
    <row r="1" spans="1:5" x14ac:dyDescent="0.2">
      <c r="A1" s="26" t="s">
        <v>68</v>
      </c>
      <c r="B1" s="26"/>
      <c r="C1" s="26"/>
      <c r="D1" s="7"/>
      <c r="E1" s="7"/>
    </row>
    <row r="3" spans="1:5" x14ac:dyDescent="0.2">
      <c r="A3" s="22" t="s">
        <v>69</v>
      </c>
      <c r="B3" s="22" t="s">
        <v>70</v>
      </c>
      <c r="C3" t="s">
        <v>71</v>
      </c>
    </row>
    <row r="5" spans="1:5" x14ac:dyDescent="0.2">
      <c r="A5" t="s">
        <v>72</v>
      </c>
      <c r="B5">
        <v>60</v>
      </c>
      <c r="C5">
        <f>Loste!G66</f>
        <v>207.19</v>
      </c>
    </row>
    <row r="6" spans="1:5" x14ac:dyDescent="0.2">
      <c r="A6" t="s">
        <v>73</v>
      </c>
      <c r="B6">
        <v>112</v>
      </c>
      <c r="C6">
        <f>Transgourmet!H145</f>
        <v>1287.058</v>
      </c>
    </row>
    <row r="7" spans="1:5" x14ac:dyDescent="0.2">
      <c r="A7" t="s">
        <v>74</v>
      </c>
      <c r="B7">
        <v>75</v>
      </c>
      <c r="C7">
        <f>Episaveur!H86</f>
        <v>334.73859999999996</v>
      </c>
    </row>
    <row r="8" spans="1:5" x14ac:dyDescent="0.2">
      <c r="A8" t="s">
        <v>75</v>
      </c>
      <c r="B8">
        <v>9</v>
      </c>
      <c r="C8">
        <f>ECOLAB!G14</f>
        <v>17.9255</v>
      </c>
    </row>
    <row r="9" spans="1:5" x14ac:dyDescent="0.2">
      <c r="A9" t="s">
        <v>76</v>
      </c>
      <c r="B9">
        <v>25</v>
      </c>
      <c r="C9">
        <f>'Passion Froid'!H34</f>
        <v>36.508133333333333</v>
      </c>
    </row>
    <row r="10" spans="1:5" x14ac:dyDescent="0.2">
      <c r="A10" s="16" t="s">
        <v>77</v>
      </c>
      <c r="B10" s="16"/>
      <c r="C10" s="16">
        <f>'Commande Via Patisserie'!G33</f>
        <v>0</v>
      </c>
    </row>
    <row r="11" spans="1:5" x14ac:dyDescent="0.2">
      <c r="A11" t="s">
        <v>78</v>
      </c>
      <c r="B11">
        <v>5</v>
      </c>
      <c r="C11">
        <f>Goeland!G12</f>
        <v>297.99999999999994</v>
      </c>
    </row>
    <row r="12" spans="1:5" x14ac:dyDescent="0.2">
      <c r="A12" t="s">
        <v>79</v>
      </c>
      <c r="B12">
        <v>1</v>
      </c>
      <c r="C12">
        <f>Pollet!G9</f>
        <v>128.316</v>
      </c>
    </row>
    <row r="14" spans="1:5" x14ac:dyDescent="0.2">
      <c r="B14" t="s">
        <v>80</v>
      </c>
      <c r="C14">
        <f>SUM(C5:C11)</f>
        <v>2181.4202333333333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F398-BD99-4DF7-B70D-EA4AA4738B65}">
  <dimension ref="A1:G66"/>
  <sheetViews>
    <sheetView topLeftCell="A11" workbookViewId="0">
      <selection activeCell="F29" sqref="F29"/>
    </sheetView>
  </sheetViews>
  <sheetFormatPr defaultColWidth="9.14453125" defaultRowHeight="15" x14ac:dyDescent="0.2"/>
  <cols>
    <col min="1" max="1" width="30.9375" style="11" customWidth="1"/>
    <col min="2" max="2" width="8.203125" style="11" customWidth="1"/>
    <col min="3" max="16384" width="9.14453125" style="11"/>
  </cols>
  <sheetData>
    <row r="1" spans="1:7" x14ac:dyDescent="0.2">
      <c r="A1"/>
      <c r="B1"/>
      <c r="C1"/>
      <c r="D1"/>
      <c r="E1"/>
      <c r="F1"/>
      <c r="G1"/>
    </row>
    <row r="2" spans="1:7" x14ac:dyDescent="0.2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71</v>
      </c>
    </row>
    <row r="3" spans="1:7" x14ac:dyDescent="0.2">
      <c r="A3" s="5" t="s">
        <v>87</v>
      </c>
      <c r="B3" s="5">
        <v>43054</v>
      </c>
      <c r="C3" s="5" t="s">
        <v>88</v>
      </c>
      <c r="D3" s="5">
        <v>25</v>
      </c>
      <c r="E3" s="6">
        <v>43891</v>
      </c>
      <c r="F3" s="5">
        <v>1.5</v>
      </c>
      <c r="G3" s="5">
        <f>D3*F3</f>
        <v>37.5</v>
      </c>
    </row>
    <row r="4" spans="1:7" x14ac:dyDescent="0.2">
      <c r="A4" t="s">
        <v>89</v>
      </c>
      <c r="B4">
        <v>3350</v>
      </c>
      <c r="C4" t="s">
        <v>88</v>
      </c>
      <c r="D4">
        <v>13.002000000000001</v>
      </c>
      <c r="E4" s="4">
        <v>43891</v>
      </c>
      <c r="F4"/>
      <c r="G4" s="5">
        <f>D4*F4</f>
        <v>0</v>
      </c>
    </row>
    <row r="5" spans="1:7" x14ac:dyDescent="0.2">
      <c r="A5" s="5" t="s">
        <v>90</v>
      </c>
      <c r="B5" s="5" t="s">
        <v>91</v>
      </c>
      <c r="C5" s="5" t="s">
        <v>88</v>
      </c>
      <c r="D5" s="5">
        <v>9.69</v>
      </c>
      <c r="E5" s="6">
        <v>43891</v>
      </c>
      <c r="F5" s="5"/>
      <c r="G5" s="5">
        <f>D5*F5</f>
        <v>0</v>
      </c>
    </row>
    <row r="6" spans="1:7" x14ac:dyDescent="0.2">
      <c r="A6" s="5" t="s">
        <v>92</v>
      </c>
      <c r="B6" s="5">
        <v>3820</v>
      </c>
      <c r="C6" s="5" t="s">
        <v>88</v>
      </c>
      <c r="D6" s="5">
        <v>8.8710000000000004</v>
      </c>
      <c r="E6" s="6">
        <v>43891</v>
      </c>
      <c r="F6" s="5"/>
      <c r="G6" s="5">
        <f>D6*F6</f>
        <v>0</v>
      </c>
    </row>
    <row r="7" spans="1:7" x14ac:dyDescent="0.2">
      <c r="A7" s="5" t="s">
        <v>93</v>
      </c>
      <c r="B7" s="5">
        <v>703</v>
      </c>
      <c r="C7" s="5" t="s">
        <v>88</v>
      </c>
      <c r="D7" s="5">
        <v>7.57</v>
      </c>
      <c r="E7" s="6">
        <v>43891</v>
      </c>
      <c r="F7" s="5"/>
      <c r="G7" s="5">
        <f>D7*F7</f>
        <v>0</v>
      </c>
    </row>
    <row r="8" spans="1:7" x14ac:dyDescent="0.2">
      <c r="A8" t="s">
        <v>94</v>
      </c>
      <c r="B8">
        <v>43206</v>
      </c>
      <c r="C8" t="s">
        <v>88</v>
      </c>
      <c r="D8">
        <v>9.89</v>
      </c>
      <c r="E8" s="4">
        <v>43891</v>
      </c>
      <c r="F8"/>
      <c r="G8" s="5">
        <f>D8*F8</f>
        <v>0</v>
      </c>
    </row>
    <row r="9" spans="1:7" x14ac:dyDescent="0.2">
      <c r="A9" t="s">
        <v>95</v>
      </c>
      <c r="B9">
        <v>42012</v>
      </c>
      <c r="C9" t="s">
        <v>88</v>
      </c>
      <c r="D9">
        <v>9.32</v>
      </c>
      <c r="E9" s="4">
        <v>43891</v>
      </c>
      <c r="F9"/>
      <c r="G9" s="5">
        <f>D9*F9</f>
        <v>0</v>
      </c>
    </row>
    <row r="10" spans="1:7" x14ac:dyDescent="0.2">
      <c r="A10" t="s">
        <v>96</v>
      </c>
      <c r="B10">
        <v>3611</v>
      </c>
      <c r="C10" t="s">
        <v>88</v>
      </c>
      <c r="D10">
        <v>8.23</v>
      </c>
      <c r="E10" s="4">
        <v>43891</v>
      </c>
      <c r="F10"/>
      <c r="G10" s="5">
        <f>D10*F10</f>
        <v>0</v>
      </c>
    </row>
    <row r="11" spans="1:7" x14ac:dyDescent="0.2">
      <c r="A11" t="s">
        <v>97</v>
      </c>
      <c r="B11">
        <v>42030</v>
      </c>
      <c r="C11" t="s">
        <v>88</v>
      </c>
      <c r="D11">
        <v>10.029999999999999</v>
      </c>
      <c r="E11" s="4">
        <v>43891</v>
      </c>
      <c r="F11"/>
      <c r="G11" s="5">
        <f>D11*F11</f>
        <v>0</v>
      </c>
    </row>
    <row r="12" spans="1:7" x14ac:dyDescent="0.2">
      <c r="A12" t="s">
        <v>98</v>
      </c>
      <c r="B12">
        <v>42013</v>
      </c>
      <c r="C12" t="s">
        <v>88</v>
      </c>
      <c r="D12">
        <v>8.9440000000000008</v>
      </c>
      <c r="E12" s="4">
        <v>43891</v>
      </c>
      <c r="F12"/>
      <c r="G12" s="5">
        <f>D12*F12</f>
        <v>0</v>
      </c>
    </row>
    <row r="13" spans="1:7" x14ac:dyDescent="0.2">
      <c r="A13" s="5" t="s">
        <v>99</v>
      </c>
      <c r="B13" s="5">
        <v>4112</v>
      </c>
      <c r="C13" s="5" t="s">
        <v>88</v>
      </c>
      <c r="D13" s="5">
        <v>15.6</v>
      </c>
      <c r="E13" s="6">
        <v>43891</v>
      </c>
      <c r="F13" s="5"/>
      <c r="G13" s="5">
        <f>D13*F13</f>
        <v>0</v>
      </c>
    </row>
    <row r="14" spans="1:7" x14ac:dyDescent="0.2">
      <c r="A14" s="5" t="s">
        <v>100</v>
      </c>
      <c r="B14" s="5">
        <v>3094</v>
      </c>
      <c r="C14" s="5" t="s">
        <v>88</v>
      </c>
      <c r="D14" s="5">
        <v>11.72</v>
      </c>
      <c r="E14" s="6">
        <v>43891</v>
      </c>
      <c r="F14" s="5"/>
      <c r="G14" s="5">
        <f>D14*F14</f>
        <v>0</v>
      </c>
    </row>
    <row r="15" spans="1:7" x14ac:dyDescent="0.2">
      <c r="A15" s="5" t="s">
        <v>101</v>
      </c>
      <c r="B15" s="5">
        <v>4419</v>
      </c>
      <c r="C15" s="5" t="s">
        <v>88</v>
      </c>
      <c r="D15" s="5">
        <v>11.8</v>
      </c>
      <c r="E15" s="6">
        <v>43891</v>
      </c>
      <c r="F15" s="5"/>
      <c r="G15" s="5">
        <f>D15*F15</f>
        <v>0</v>
      </c>
    </row>
    <row r="16" spans="1:7" x14ac:dyDescent="0.2">
      <c r="A16" t="s">
        <v>102</v>
      </c>
      <c r="B16">
        <v>2166</v>
      </c>
      <c r="C16" t="s">
        <v>88</v>
      </c>
      <c r="D16">
        <v>19.399999999999999</v>
      </c>
      <c r="E16" s="4">
        <v>43891</v>
      </c>
      <c r="F16"/>
      <c r="G16" s="5">
        <f>D16*F16</f>
        <v>0</v>
      </c>
    </row>
    <row r="17" spans="1:7" x14ac:dyDescent="0.2">
      <c r="A17" s="5" t="s">
        <v>103</v>
      </c>
      <c r="B17" s="5">
        <v>5275</v>
      </c>
      <c r="C17" s="5" t="s">
        <v>88</v>
      </c>
      <c r="D17" s="5">
        <v>17.91</v>
      </c>
      <c r="E17" s="6">
        <v>43891</v>
      </c>
      <c r="F17" s="5"/>
      <c r="G17" s="5">
        <f>D17*F17</f>
        <v>0</v>
      </c>
    </row>
    <row r="18" spans="1:7" x14ac:dyDescent="0.2">
      <c r="A18" t="s">
        <v>104</v>
      </c>
      <c r="B18">
        <v>51049</v>
      </c>
      <c r="C18" t="s">
        <v>88</v>
      </c>
      <c r="D18">
        <v>16.16</v>
      </c>
      <c r="E18" s="4">
        <v>43891</v>
      </c>
      <c r="F18"/>
      <c r="G18" s="5">
        <f>D18*F18</f>
        <v>0</v>
      </c>
    </row>
    <row r="19" spans="1:7" x14ac:dyDescent="0.2">
      <c r="A19" s="5" t="s">
        <v>105</v>
      </c>
      <c r="B19" s="5">
        <v>2161</v>
      </c>
      <c r="C19" s="5" t="s">
        <v>88</v>
      </c>
      <c r="D19" s="5">
        <v>12.94</v>
      </c>
      <c r="E19" s="6">
        <v>43891</v>
      </c>
      <c r="F19" s="5"/>
      <c r="G19" s="5">
        <f>D19*F19</f>
        <v>0</v>
      </c>
    </row>
    <row r="20" spans="1:7" x14ac:dyDescent="0.2">
      <c r="A20" t="s">
        <v>106</v>
      </c>
      <c r="B20">
        <v>4935</v>
      </c>
      <c r="C20" t="s">
        <v>88</v>
      </c>
      <c r="D20">
        <v>19.498999999999999</v>
      </c>
      <c r="E20" s="4">
        <v>43891</v>
      </c>
      <c r="F20"/>
      <c r="G20" s="5">
        <f>D20*F20</f>
        <v>0</v>
      </c>
    </row>
    <row r="21" spans="1:7" x14ac:dyDescent="0.2">
      <c r="A21" s="5" t="s">
        <v>107</v>
      </c>
      <c r="B21" s="5"/>
      <c r="C21" s="5" t="s">
        <v>88</v>
      </c>
      <c r="D21" s="5">
        <v>23.779</v>
      </c>
      <c r="E21" s="6">
        <v>43891</v>
      </c>
      <c r="F21" s="5"/>
      <c r="G21" s="5">
        <f>D21*F21</f>
        <v>0</v>
      </c>
    </row>
    <row r="22" spans="1:7" x14ac:dyDescent="0.2">
      <c r="A22" s="5" t="s">
        <v>108</v>
      </c>
      <c r="B22" s="5"/>
      <c r="C22" s="5" t="s">
        <v>88</v>
      </c>
      <c r="D22" s="5">
        <v>20.981000000000002</v>
      </c>
      <c r="E22" s="6">
        <v>43891</v>
      </c>
      <c r="F22" s="5"/>
      <c r="G22" s="5">
        <f>D22*F22</f>
        <v>0</v>
      </c>
    </row>
    <row r="23" spans="1:7" x14ac:dyDescent="0.2">
      <c r="A23" s="5" t="s">
        <v>109</v>
      </c>
      <c r="B23" s="5">
        <v>4114</v>
      </c>
      <c r="C23" s="5" t="s">
        <v>88</v>
      </c>
      <c r="D23" s="5">
        <v>7.7</v>
      </c>
      <c r="E23" s="6">
        <v>43891</v>
      </c>
      <c r="F23" s="5"/>
      <c r="G23" s="5">
        <f>D23*F23</f>
        <v>0</v>
      </c>
    </row>
    <row r="24" spans="1:7" x14ac:dyDescent="0.2">
      <c r="A24" t="s">
        <v>110</v>
      </c>
      <c r="B24">
        <v>51206</v>
      </c>
      <c r="C24" t="s">
        <v>88</v>
      </c>
      <c r="D24">
        <v>7.7789999999999999</v>
      </c>
      <c r="E24" s="4">
        <v>43891</v>
      </c>
      <c r="F24"/>
      <c r="G24" s="5">
        <f>D24*F24</f>
        <v>0</v>
      </c>
    </row>
    <row r="25" spans="1:7" x14ac:dyDescent="0.2">
      <c r="A25" s="5" t="s">
        <v>111</v>
      </c>
      <c r="B25" s="5">
        <v>4868</v>
      </c>
      <c r="C25" s="5" t="s">
        <v>88</v>
      </c>
      <c r="D25" s="5">
        <v>41</v>
      </c>
      <c r="E25" s="6">
        <v>43891</v>
      </c>
      <c r="F25" s="5">
        <v>0.2</v>
      </c>
      <c r="G25" s="5">
        <f>D25*F25</f>
        <v>8.2000000000000011</v>
      </c>
    </row>
    <row r="26" spans="1:7" x14ac:dyDescent="0.2">
      <c r="A26" t="s">
        <v>112</v>
      </c>
      <c r="B26">
        <v>4425</v>
      </c>
      <c r="C26" t="s">
        <v>88</v>
      </c>
      <c r="D26">
        <v>45</v>
      </c>
      <c r="E26" s="4">
        <v>43891</v>
      </c>
      <c r="F26"/>
      <c r="G26" s="5">
        <f>D26*F26</f>
        <v>0</v>
      </c>
    </row>
    <row r="27" spans="1:7" x14ac:dyDescent="0.2">
      <c r="A27" t="s">
        <v>113</v>
      </c>
      <c r="B27">
        <v>5108</v>
      </c>
      <c r="C27" t="s">
        <v>114</v>
      </c>
      <c r="D27">
        <v>19.72</v>
      </c>
      <c r="E27" s="4">
        <v>43891</v>
      </c>
      <c r="F27"/>
      <c r="G27" s="5">
        <f>D27*F27</f>
        <v>0</v>
      </c>
    </row>
    <row r="28" spans="1:7" x14ac:dyDescent="0.2">
      <c r="A28" t="s">
        <v>115</v>
      </c>
      <c r="B28">
        <v>43136</v>
      </c>
      <c r="C28" t="s">
        <v>88</v>
      </c>
      <c r="D28">
        <v>23.45</v>
      </c>
      <c r="E28" s="4">
        <v>43891</v>
      </c>
      <c r="F28">
        <v>4.2</v>
      </c>
      <c r="G28" s="5">
        <f>D28*F28</f>
        <v>98.49</v>
      </c>
    </row>
    <row r="29" spans="1:7" x14ac:dyDescent="0.2">
      <c r="A29" t="s">
        <v>116</v>
      </c>
      <c r="B29">
        <v>43210</v>
      </c>
      <c r="C29" t="s">
        <v>88</v>
      </c>
      <c r="D29">
        <v>14.491</v>
      </c>
      <c r="E29" s="4">
        <v>43891</v>
      </c>
      <c r="F29"/>
      <c r="G29" s="5">
        <f>D29*F29</f>
        <v>0</v>
      </c>
    </row>
    <row r="30" spans="1:7" x14ac:dyDescent="0.2">
      <c r="A30" t="s">
        <v>117</v>
      </c>
      <c r="B30">
        <v>5277</v>
      </c>
      <c r="C30" t="s">
        <v>88</v>
      </c>
      <c r="D30">
        <v>20.306000000000001</v>
      </c>
      <c r="E30" s="4">
        <v>43891</v>
      </c>
      <c r="F30"/>
      <c r="G30" s="5">
        <f>D30*F30</f>
        <v>0</v>
      </c>
    </row>
    <row r="31" spans="1:7" x14ac:dyDescent="0.2">
      <c r="A31" s="5" t="s">
        <v>118</v>
      </c>
      <c r="B31" s="5">
        <v>43328</v>
      </c>
      <c r="C31" s="5" t="s">
        <v>88</v>
      </c>
      <c r="D31" s="5">
        <v>11.9</v>
      </c>
      <c r="E31" s="6">
        <v>43891</v>
      </c>
      <c r="F31" s="5"/>
      <c r="G31" s="5">
        <f>D31*F31</f>
        <v>0</v>
      </c>
    </row>
    <row r="32" spans="1:7" x14ac:dyDescent="0.2">
      <c r="A32" t="s">
        <v>119</v>
      </c>
      <c r="B32">
        <v>3402</v>
      </c>
      <c r="C32" t="s">
        <v>88</v>
      </c>
      <c r="D32">
        <v>14.215</v>
      </c>
      <c r="E32" s="4">
        <v>43891</v>
      </c>
      <c r="F32"/>
      <c r="G32" s="5">
        <f>D32*F32</f>
        <v>0</v>
      </c>
    </row>
    <row r="33" spans="1:7" x14ac:dyDescent="0.2">
      <c r="A33" t="s">
        <v>120</v>
      </c>
      <c r="B33">
        <v>42024</v>
      </c>
      <c r="C33" t="s">
        <v>88</v>
      </c>
      <c r="D33">
        <v>8.7089999999999996</v>
      </c>
      <c r="E33" s="4">
        <v>43891</v>
      </c>
      <c r="F33"/>
      <c r="G33" s="5">
        <f>D33*F33</f>
        <v>0</v>
      </c>
    </row>
    <row r="34" spans="1:7" x14ac:dyDescent="0.2">
      <c r="A34" s="5" t="s">
        <v>121</v>
      </c>
      <c r="B34" s="5"/>
      <c r="C34" s="5" t="s">
        <v>88</v>
      </c>
      <c r="D34" s="5">
        <v>14.647</v>
      </c>
      <c r="E34" s="6">
        <v>43891</v>
      </c>
      <c r="F34" s="5"/>
      <c r="G34" s="5">
        <f>D34*F34</f>
        <v>0</v>
      </c>
    </row>
    <row r="35" spans="1:7" x14ac:dyDescent="0.2">
      <c r="A35" t="s">
        <v>122</v>
      </c>
      <c r="B35">
        <v>42014</v>
      </c>
      <c r="C35" t="s">
        <v>88</v>
      </c>
      <c r="D35">
        <v>10.08</v>
      </c>
      <c r="E35" s="4">
        <v>43891</v>
      </c>
      <c r="F35"/>
      <c r="G35" s="5">
        <f>D35*F35</f>
        <v>0</v>
      </c>
    </row>
    <row r="36" spans="1:7" x14ac:dyDescent="0.2">
      <c r="A36" t="s">
        <v>123</v>
      </c>
      <c r="B36">
        <v>1074</v>
      </c>
      <c r="C36" t="s">
        <v>88</v>
      </c>
      <c r="D36">
        <v>9.86</v>
      </c>
      <c r="E36" s="4">
        <v>43891</v>
      </c>
      <c r="F36"/>
      <c r="G36" s="5">
        <f>D36*F36</f>
        <v>0</v>
      </c>
    </row>
    <row r="37" spans="1:7" x14ac:dyDescent="0.2">
      <c r="A37" t="s">
        <v>124</v>
      </c>
      <c r="B37">
        <v>392</v>
      </c>
      <c r="C37" t="s">
        <v>88</v>
      </c>
      <c r="D37">
        <v>11.901</v>
      </c>
      <c r="E37" s="4">
        <v>43891</v>
      </c>
      <c r="F37"/>
      <c r="G37" s="5">
        <f>D37*F37</f>
        <v>0</v>
      </c>
    </row>
    <row r="38" spans="1:7" x14ac:dyDescent="0.2">
      <c r="A38" t="s">
        <v>125</v>
      </c>
      <c r="B38">
        <v>317</v>
      </c>
      <c r="C38" t="s">
        <v>88</v>
      </c>
      <c r="D38">
        <v>9.9239999999999995</v>
      </c>
      <c r="E38" s="4">
        <v>43891</v>
      </c>
      <c r="F38"/>
      <c r="G38" s="5">
        <f>D38*F38</f>
        <v>0</v>
      </c>
    </row>
    <row r="39" spans="1:7" x14ac:dyDescent="0.2">
      <c r="A39" s="5" t="s">
        <v>126</v>
      </c>
      <c r="B39" s="5">
        <v>43215</v>
      </c>
      <c r="C39" s="5" t="s">
        <v>127</v>
      </c>
      <c r="D39" s="5">
        <v>3.9489999999999998</v>
      </c>
      <c r="E39" s="6">
        <v>43891</v>
      </c>
      <c r="F39" s="5"/>
      <c r="G39" s="5">
        <f>D39*F39</f>
        <v>0</v>
      </c>
    </row>
    <row r="40" spans="1:7" x14ac:dyDescent="0.2">
      <c r="A40" t="s">
        <v>128</v>
      </c>
      <c r="B40">
        <v>5113</v>
      </c>
      <c r="C40" t="s">
        <v>88</v>
      </c>
      <c r="D40">
        <v>9.4</v>
      </c>
      <c r="E40" s="4">
        <v>43891</v>
      </c>
      <c r="F40"/>
      <c r="G40" s="5">
        <f>D40*F40</f>
        <v>0</v>
      </c>
    </row>
    <row r="41" spans="1:7" x14ac:dyDescent="0.2">
      <c r="A41" t="s">
        <v>129</v>
      </c>
      <c r="B41">
        <v>4857</v>
      </c>
      <c r="C41" t="s">
        <v>88</v>
      </c>
      <c r="D41">
        <v>13.79</v>
      </c>
      <c r="E41" s="4">
        <v>43891</v>
      </c>
      <c r="F41"/>
      <c r="G41" s="5">
        <f>D41*F41</f>
        <v>0</v>
      </c>
    </row>
    <row r="42" spans="1:7" x14ac:dyDescent="0.2">
      <c r="A42" s="5" t="s">
        <v>130</v>
      </c>
      <c r="B42" s="5">
        <v>3074</v>
      </c>
      <c r="C42" s="5" t="s">
        <v>88</v>
      </c>
      <c r="D42" s="5">
        <v>14.978</v>
      </c>
      <c r="E42" s="6">
        <v>43891</v>
      </c>
      <c r="F42" s="5"/>
      <c r="G42" s="5">
        <f>D42*F42</f>
        <v>0</v>
      </c>
    </row>
    <row r="43" spans="1:7" x14ac:dyDescent="0.2">
      <c r="A43" t="s">
        <v>131</v>
      </c>
      <c r="B43">
        <v>362</v>
      </c>
      <c r="C43" t="s">
        <v>88</v>
      </c>
      <c r="D43">
        <v>8.91</v>
      </c>
      <c r="E43" s="4">
        <v>43891</v>
      </c>
      <c r="F43"/>
      <c r="G43" s="5">
        <f>D43*F43</f>
        <v>0</v>
      </c>
    </row>
    <row r="44" spans="1:7" x14ac:dyDescent="0.2">
      <c r="A44" t="s">
        <v>132</v>
      </c>
      <c r="B44">
        <v>3022</v>
      </c>
      <c r="C44" t="s">
        <v>88</v>
      </c>
      <c r="D44">
        <v>14.31</v>
      </c>
      <c r="E44" s="4">
        <v>43891</v>
      </c>
      <c r="F44"/>
      <c r="G44" s="5">
        <f>D44*F44</f>
        <v>0</v>
      </c>
    </row>
    <row r="45" spans="1:7" x14ac:dyDescent="0.2">
      <c r="A45" t="s">
        <v>133</v>
      </c>
      <c r="B45">
        <v>344</v>
      </c>
      <c r="C45" t="s">
        <v>88</v>
      </c>
      <c r="D45">
        <v>14.731</v>
      </c>
      <c r="E45" s="4">
        <v>43891</v>
      </c>
      <c r="F45"/>
      <c r="G45" s="5">
        <f>D45*F45</f>
        <v>0</v>
      </c>
    </row>
    <row r="46" spans="1:7" x14ac:dyDescent="0.2">
      <c r="A46" t="s">
        <v>134</v>
      </c>
      <c r="B46">
        <v>2251</v>
      </c>
      <c r="C46" t="s">
        <v>88</v>
      </c>
      <c r="D46">
        <v>13.068</v>
      </c>
      <c r="E46" s="4">
        <v>43891</v>
      </c>
      <c r="F46"/>
      <c r="G46" s="5">
        <f>D46*F46</f>
        <v>0</v>
      </c>
    </row>
    <row r="47" spans="1:7" x14ac:dyDescent="0.2">
      <c r="A47" t="s">
        <v>135</v>
      </c>
      <c r="B47">
        <v>3777</v>
      </c>
      <c r="C47" t="s">
        <v>88</v>
      </c>
      <c r="D47">
        <v>13.063000000000001</v>
      </c>
      <c r="E47" s="4">
        <v>43891</v>
      </c>
      <c r="F47"/>
      <c r="G47" s="5">
        <f>D47*F47</f>
        <v>0</v>
      </c>
    </row>
    <row r="48" spans="1:7" x14ac:dyDescent="0.2">
      <c r="A48" t="s">
        <v>136</v>
      </c>
      <c r="B48">
        <v>4151</v>
      </c>
      <c r="C48" t="s">
        <v>88</v>
      </c>
      <c r="D48">
        <v>19.132999999999999</v>
      </c>
      <c r="E48" s="4">
        <v>43891</v>
      </c>
      <c r="F48"/>
      <c r="G48" s="5">
        <f>D48*F48</f>
        <v>0</v>
      </c>
    </row>
    <row r="49" spans="1:7" x14ac:dyDescent="0.2">
      <c r="A49" t="s">
        <v>137</v>
      </c>
      <c r="B49">
        <v>2104</v>
      </c>
      <c r="C49" t="s">
        <v>88</v>
      </c>
      <c r="D49">
        <v>13.75</v>
      </c>
      <c r="E49" s="4">
        <v>43891</v>
      </c>
      <c r="F49"/>
      <c r="G49" s="5">
        <f>D49*F49</f>
        <v>0</v>
      </c>
    </row>
    <row r="50" spans="1:7" x14ac:dyDescent="0.2">
      <c r="A50" t="s">
        <v>138</v>
      </c>
      <c r="B50">
        <v>695</v>
      </c>
      <c r="C50" t="s">
        <v>127</v>
      </c>
      <c r="D50">
        <v>3.3540000000000001</v>
      </c>
      <c r="E50" s="4">
        <v>43891</v>
      </c>
      <c r="F50"/>
      <c r="G50" s="5">
        <f>D50*F50</f>
        <v>0</v>
      </c>
    </row>
    <row r="51" spans="1:7" x14ac:dyDescent="0.2">
      <c r="A51" t="s">
        <v>139</v>
      </c>
      <c r="B51">
        <v>740</v>
      </c>
      <c r="C51" t="s">
        <v>127</v>
      </c>
      <c r="D51">
        <v>3.0289999999999999</v>
      </c>
      <c r="E51" s="4">
        <v>43891</v>
      </c>
      <c r="F51"/>
      <c r="G51" s="5">
        <f>D51*F51</f>
        <v>0</v>
      </c>
    </row>
    <row r="52" spans="1:7" x14ac:dyDescent="0.2">
      <c r="A52" s="5" t="s">
        <v>140</v>
      </c>
      <c r="B52" s="5">
        <v>4075</v>
      </c>
      <c r="C52" s="5" t="s">
        <v>88</v>
      </c>
      <c r="D52" s="5">
        <v>9.65</v>
      </c>
      <c r="E52" s="6">
        <v>43891</v>
      </c>
      <c r="F52" s="5"/>
      <c r="G52" s="5">
        <f>D52*F52</f>
        <v>0</v>
      </c>
    </row>
    <row r="53" spans="1:7" x14ac:dyDescent="0.2">
      <c r="A53" t="s">
        <v>141</v>
      </c>
      <c r="B53"/>
      <c r="C53" t="s">
        <v>88</v>
      </c>
      <c r="D53">
        <v>23.28</v>
      </c>
      <c r="E53" s="4">
        <v>43891</v>
      </c>
      <c r="F53"/>
      <c r="G53" s="5">
        <f>D53*F53</f>
        <v>0</v>
      </c>
    </row>
    <row r="54" spans="1:7" x14ac:dyDescent="0.2">
      <c r="A54" t="s">
        <v>142</v>
      </c>
      <c r="B54">
        <v>43192</v>
      </c>
      <c r="C54" t="s">
        <v>88</v>
      </c>
      <c r="D54">
        <v>12.278</v>
      </c>
      <c r="E54" s="4">
        <v>43891</v>
      </c>
      <c r="F54"/>
      <c r="G54" s="5">
        <f>D54*F54</f>
        <v>0</v>
      </c>
    </row>
    <row r="55" spans="1:7" x14ac:dyDescent="0.2">
      <c r="A55" t="s">
        <v>143</v>
      </c>
      <c r="B55">
        <v>43191</v>
      </c>
      <c r="C55" t="s">
        <v>88</v>
      </c>
      <c r="D55">
        <v>12.26</v>
      </c>
      <c r="E55" s="4">
        <v>43891</v>
      </c>
      <c r="F55"/>
      <c r="G55" s="5">
        <f>D55*F55</f>
        <v>0</v>
      </c>
    </row>
    <row r="56" spans="1:7" x14ac:dyDescent="0.2">
      <c r="A56" s="5" t="s">
        <v>144</v>
      </c>
      <c r="B56" s="5">
        <v>3631</v>
      </c>
      <c r="C56" s="5" t="s">
        <v>88</v>
      </c>
      <c r="D56" s="5">
        <v>8</v>
      </c>
      <c r="E56" s="6">
        <v>43891</v>
      </c>
      <c r="F56" s="5"/>
      <c r="G56" s="5">
        <f>D56*F56</f>
        <v>0</v>
      </c>
    </row>
    <row r="57" spans="1:7" x14ac:dyDescent="0.2">
      <c r="A57" s="5" t="s">
        <v>145</v>
      </c>
      <c r="B57" s="5"/>
      <c r="C57" s="5" t="s">
        <v>88</v>
      </c>
      <c r="D57" s="5">
        <v>21</v>
      </c>
      <c r="E57" s="6">
        <v>43891</v>
      </c>
      <c r="F57" s="5">
        <v>3</v>
      </c>
      <c r="G57" s="5">
        <f>D57*F57</f>
        <v>63</v>
      </c>
    </row>
    <row r="58" spans="1:7" x14ac:dyDescent="0.2">
      <c r="A58" s="5" t="s">
        <v>146</v>
      </c>
      <c r="B58" s="5">
        <v>3615</v>
      </c>
      <c r="C58" s="5" t="s">
        <v>88</v>
      </c>
      <c r="D58" s="5">
        <v>7.335</v>
      </c>
      <c r="E58" s="6">
        <v>43891</v>
      </c>
      <c r="F58" s="5"/>
      <c r="G58" s="5">
        <f>D58*F58</f>
        <v>0</v>
      </c>
    </row>
    <row r="59" spans="1:7" x14ac:dyDescent="0.2">
      <c r="A59" t="s">
        <v>147</v>
      </c>
      <c r="B59">
        <v>3629</v>
      </c>
      <c r="C59" t="s">
        <v>88</v>
      </c>
      <c r="D59">
        <v>10.49</v>
      </c>
      <c r="E59" s="4">
        <v>43891</v>
      </c>
      <c r="F59"/>
      <c r="G59" s="5">
        <f>D59*F59</f>
        <v>0</v>
      </c>
    </row>
    <row r="60" spans="1:7" x14ac:dyDescent="0.2">
      <c r="A60" t="s">
        <v>148</v>
      </c>
      <c r="B60">
        <v>617</v>
      </c>
      <c r="C60" t="s">
        <v>88</v>
      </c>
      <c r="D60">
        <v>11.273999999999999</v>
      </c>
      <c r="E60" s="4">
        <v>43891</v>
      </c>
      <c r="F60"/>
      <c r="G60" s="5">
        <f>D60*F60</f>
        <v>0</v>
      </c>
    </row>
    <row r="61" spans="1:7" x14ac:dyDescent="0.2">
      <c r="A61" t="s">
        <v>149</v>
      </c>
      <c r="B61">
        <v>4179</v>
      </c>
      <c r="C61" t="s">
        <v>88</v>
      </c>
      <c r="D61">
        <v>11.935</v>
      </c>
      <c r="E61" s="4">
        <v>43891</v>
      </c>
      <c r="F61"/>
      <c r="G61" s="5">
        <f>D61*F61</f>
        <v>0</v>
      </c>
    </row>
    <row r="62" spans="1:7" x14ac:dyDescent="0.2">
      <c r="A62" s="5" t="s">
        <v>150</v>
      </c>
      <c r="B62" s="5">
        <v>345</v>
      </c>
      <c r="C62" s="5" t="s">
        <v>88</v>
      </c>
      <c r="D62" s="5">
        <v>15.177</v>
      </c>
      <c r="E62" s="6">
        <v>43891</v>
      </c>
      <c r="F62" s="5"/>
      <c r="G62" s="5">
        <f>D62*F62</f>
        <v>0</v>
      </c>
    </row>
    <row r="63" spans="1:7" x14ac:dyDescent="0.2">
      <c r="A63" t="s">
        <v>151</v>
      </c>
      <c r="B63"/>
      <c r="C63" t="s">
        <v>88</v>
      </c>
      <c r="D63">
        <v>15.903</v>
      </c>
      <c r="E63" s="4">
        <v>43891</v>
      </c>
      <c r="F63"/>
      <c r="G63" s="5">
        <f>D63*F63</f>
        <v>0</v>
      </c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 s="16"/>
      <c r="B66" s="16"/>
      <c r="C66" s="27" t="s">
        <v>152</v>
      </c>
      <c r="D66" s="27"/>
      <c r="E66" s="27"/>
      <c r="F66" s="27"/>
      <c r="G66" s="16">
        <f>SUM(G3:G63)</f>
        <v>207.19</v>
      </c>
    </row>
  </sheetData>
  <sortState xmlns:xlrd2="http://schemas.microsoft.com/office/spreadsheetml/2017/richdata2" ref="A3:G63">
    <sortCondition ref="A3:A63"/>
  </sortState>
  <mergeCells count="1">
    <mergeCell ref="C66:F6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D4F85-76CA-47AB-B96F-367DC63713E7}">
  <dimension ref="A1:G14"/>
  <sheetViews>
    <sheetView workbookViewId="0">
      <selection activeCell="E13" sqref="E13"/>
    </sheetView>
  </sheetViews>
  <sheetFormatPr defaultRowHeight="15" x14ac:dyDescent="0.2"/>
  <cols>
    <col min="1" max="1" width="20.984375" customWidth="1"/>
    <col min="4" max="4" width="12.23828125" customWidth="1"/>
  </cols>
  <sheetData>
    <row r="1" spans="1:7" x14ac:dyDescent="0.2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71</v>
      </c>
    </row>
    <row r="3" spans="1:7" x14ac:dyDescent="0.2">
      <c r="A3" t="s">
        <v>153</v>
      </c>
      <c r="B3">
        <v>209184</v>
      </c>
      <c r="C3" t="s">
        <v>154</v>
      </c>
      <c r="D3">
        <v>26.7</v>
      </c>
      <c r="E3" s="4">
        <v>43983</v>
      </c>
      <c r="G3">
        <f>F3*D3</f>
        <v>0</v>
      </c>
    </row>
    <row r="4" spans="1:7" x14ac:dyDescent="0.2">
      <c r="A4" t="s">
        <v>155</v>
      </c>
      <c r="B4">
        <v>253689</v>
      </c>
      <c r="C4" t="s">
        <v>154</v>
      </c>
      <c r="D4">
        <v>28.504000000000001</v>
      </c>
      <c r="E4" s="4">
        <v>43983</v>
      </c>
      <c r="G4">
        <f>F4*D4</f>
        <v>0</v>
      </c>
    </row>
    <row r="5" spans="1:7" x14ac:dyDescent="0.2">
      <c r="A5" t="s">
        <v>156</v>
      </c>
      <c r="B5">
        <v>970672</v>
      </c>
      <c r="C5" t="s">
        <v>154</v>
      </c>
      <c r="D5">
        <v>35.850999999999999</v>
      </c>
      <c r="E5" s="4">
        <v>43983</v>
      </c>
      <c r="F5">
        <v>0.5</v>
      </c>
      <c r="G5">
        <f t="shared" ref="G5:G11" si="0">F5*D5</f>
        <v>17.9255</v>
      </c>
    </row>
    <row r="6" spans="1:7" x14ac:dyDescent="0.2">
      <c r="A6" s="11" t="s">
        <v>157</v>
      </c>
      <c r="B6" s="11">
        <v>202203</v>
      </c>
      <c r="C6" t="s">
        <v>154</v>
      </c>
      <c r="D6" s="11">
        <v>4.7210000000000001</v>
      </c>
      <c r="E6" s="4">
        <v>43983</v>
      </c>
      <c r="G6">
        <f t="shared" si="0"/>
        <v>0</v>
      </c>
    </row>
    <row r="7" spans="1:7" x14ac:dyDescent="0.2">
      <c r="A7" s="11" t="s">
        <v>158</v>
      </c>
      <c r="B7" s="11">
        <v>240080</v>
      </c>
      <c r="C7" t="s">
        <v>154</v>
      </c>
      <c r="D7" s="11">
        <v>68.122</v>
      </c>
      <c r="E7" s="4">
        <v>43983</v>
      </c>
      <c r="G7">
        <f t="shared" si="0"/>
        <v>0</v>
      </c>
    </row>
    <row r="8" spans="1:7" x14ac:dyDescent="0.2">
      <c r="A8" s="11" t="s">
        <v>155</v>
      </c>
      <c r="B8" s="11">
        <v>253689</v>
      </c>
      <c r="C8" t="s">
        <v>154</v>
      </c>
      <c r="D8" s="11">
        <v>28.504000000000001</v>
      </c>
      <c r="E8" s="4">
        <v>43983</v>
      </c>
      <c r="G8">
        <f t="shared" si="0"/>
        <v>0</v>
      </c>
    </row>
    <row r="9" spans="1:7" x14ac:dyDescent="0.2">
      <c r="A9" s="11" t="s">
        <v>159</v>
      </c>
      <c r="B9" s="11">
        <v>209199</v>
      </c>
      <c r="C9" t="s">
        <v>154</v>
      </c>
      <c r="D9" s="11">
        <v>76.802999999999997</v>
      </c>
      <c r="E9" s="4">
        <v>43983</v>
      </c>
      <c r="G9">
        <f t="shared" si="0"/>
        <v>0</v>
      </c>
    </row>
    <row r="10" spans="1:7" x14ac:dyDescent="0.2">
      <c r="A10" s="11" t="s">
        <v>160</v>
      </c>
      <c r="B10" s="11">
        <v>240083</v>
      </c>
      <c r="C10" t="s">
        <v>154</v>
      </c>
      <c r="D10" s="11">
        <v>89.846999999999994</v>
      </c>
      <c r="E10" s="4">
        <v>43983</v>
      </c>
      <c r="G10">
        <f t="shared" si="0"/>
        <v>0</v>
      </c>
    </row>
    <row r="11" spans="1:7" x14ac:dyDescent="0.2">
      <c r="A11" t="s">
        <v>161</v>
      </c>
      <c r="B11">
        <v>778062</v>
      </c>
      <c r="C11" t="s">
        <v>154</v>
      </c>
      <c r="D11">
        <v>9.9640000000000004</v>
      </c>
      <c r="E11" s="4">
        <v>43983</v>
      </c>
      <c r="G11">
        <f t="shared" si="0"/>
        <v>0</v>
      </c>
    </row>
    <row r="12" spans="1:7" x14ac:dyDescent="0.2">
      <c r="A12" t="s">
        <v>162</v>
      </c>
      <c r="B12">
        <v>778213</v>
      </c>
      <c r="C12" t="s">
        <v>163</v>
      </c>
      <c r="D12">
        <v>273.06</v>
      </c>
    </row>
    <row r="13" spans="1:7" x14ac:dyDescent="0.2">
      <c r="A13" t="s">
        <v>164</v>
      </c>
      <c r="B13">
        <v>200750</v>
      </c>
      <c r="C13" t="s">
        <v>165</v>
      </c>
      <c r="D13">
        <v>112.62</v>
      </c>
    </row>
    <row r="14" spans="1:7" x14ac:dyDescent="0.2">
      <c r="A14" s="16"/>
      <c r="B14" s="27" t="s">
        <v>166</v>
      </c>
      <c r="C14" s="27"/>
      <c r="D14" s="27"/>
      <c r="E14" s="27"/>
      <c r="F14" s="27"/>
      <c r="G14" s="16">
        <f>SUM(G3:G11)</f>
        <v>17.9255</v>
      </c>
    </row>
  </sheetData>
  <mergeCells count="1">
    <mergeCell ref="B14:F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247F-0CF7-46FD-BB75-AB9F18976FCA}">
  <dimension ref="A1:H145"/>
  <sheetViews>
    <sheetView topLeftCell="A33" workbookViewId="0">
      <selection activeCell="E27" sqref="E27"/>
    </sheetView>
  </sheetViews>
  <sheetFormatPr defaultRowHeight="15" x14ac:dyDescent="0.2"/>
  <cols>
    <col min="1" max="1" width="24.6171875" customWidth="1"/>
    <col min="3" max="3" width="11.43359375" customWidth="1"/>
    <col min="4" max="4" width="8.609375" customWidth="1"/>
    <col min="7" max="7" width="5.51171875" customWidth="1"/>
    <col min="8" max="8" width="5.37890625" customWidth="1"/>
  </cols>
  <sheetData>
    <row r="1" spans="1:8" ht="20.25" customHeight="1" x14ac:dyDescent="0.2">
      <c r="A1" t="s">
        <v>81</v>
      </c>
      <c r="B1" t="s">
        <v>82</v>
      </c>
      <c r="C1" t="s">
        <v>167</v>
      </c>
      <c r="D1" t="s">
        <v>83</v>
      </c>
      <c r="E1" t="s">
        <v>84</v>
      </c>
      <c r="F1" t="s">
        <v>85</v>
      </c>
      <c r="G1" t="s">
        <v>86</v>
      </c>
      <c r="H1" t="s">
        <v>71</v>
      </c>
    </row>
    <row r="2" spans="1:8" ht="20.25" customHeight="1" x14ac:dyDescent="0.2">
      <c r="A2" s="5" t="s">
        <v>168</v>
      </c>
      <c r="B2" s="5"/>
      <c r="C2" s="5"/>
      <c r="D2" s="5"/>
      <c r="E2" s="5"/>
      <c r="F2" s="5"/>
      <c r="G2" s="5"/>
      <c r="H2" s="5"/>
    </row>
    <row r="3" spans="1:8" ht="12.75" customHeight="1" x14ac:dyDescent="0.2">
      <c r="A3" s="2" t="s">
        <v>169</v>
      </c>
      <c r="B3">
        <v>676965</v>
      </c>
      <c r="C3">
        <v>1</v>
      </c>
      <c r="D3" t="s">
        <v>88</v>
      </c>
      <c r="E3">
        <v>9.3000000000000007</v>
      </c>
      <c r="F3" s="4">
        <v>43862</v>
      </c>
      <c r="G3">
        <v>2</v>
      </c>
      <c r="H3">
        <f>E3*G3</f>
        <v>18.600000000000001</v>
      </c>
    </row>
    <row r="4" spans="1:8" ht="12.75" customHeight="1" x14ac:dyDescent="0.2">
      <c r="A4" s="2" t="s">
        <v>170</v>
      </c>
      <c r="B4">
        <v>250320</v>
      </c>
      <c r="C4" t="s">
        <v>171</v>
      </c>
      <c r="D4" t="s">
        <v>88</v>
      </c>
      <c r="E4">
        <v>2.34</v>
      </c>
      <c r="F4" s="4">
        <v>43862</v>
      </c>
      <c r="H4">
        <f>E4*G4</f>
        <v>0</v>
      </c>
    </row>
    <row r="5" spans="1:8" x14ac:dyDescent="0.2">
      <c r="A5" s="2" t="s">
        <v>172</v>
      </c>
      <c r="B5">
        <v>300524</v>
      </c>
      <c r="C5" t="s">
        <v>173</v>
      </c>
      <c r="D5" t="s">
        <v>174</v>
      </c>
      <c r="E5">
        <v>8.9</v>
      </c>
      <c r="F5" s="4">
        <v>44013</v>
      </c>
      <c r="G5">
        <v>0.5</v>
      </c>
      <c r="H5">
        <f>E5*G5</f>
        <v>4.45</v>
      </c>
    </row>
    <row r="6" spans="1:8" x14ac:dyDescent="0.2">
      <c r="A6" s="2" t="s">
        <v>175</v>
      </c>
      <c r="B6">
        <v>21550</v>
      </c>
      <c r="C6" t="s">
        <v>176</v>
      </c>
      <c r="D6" t="s">
        <v>154</v>
      </c>
      <c r="E6" s="24">
        <v>10.45</v>
      </c>
      <c r="F6" s="4">
        <v>43983</v>
      </c>
      <c r="G6">
        <v>1</v>
      </c>
      <c r="H6">
        <f>E6*G6</f>
        <v>10.45</v>
      </c>
    </row>
    <row r="7" spans="1:8" x14ac:dyDescent="0.2">
      <c r="A7" s="2" t="s">
        <v>177</v>
      </c>
      <c r="B7">
        <v>206919</v>
      </c>
      <c r="C7" t="s">
        <v>178</v>
      </c>
      <c r="D7" t="s">
        <v>114</v>
      </c>
      <c r="E7">
        <v>45</v>
      </c>
      <c r="F7" s="4">
        <v>44013</v>
      </c>
      <c r="G7">
        <v>0.22</v>
      </c>
      <c r="H7">
        <f>E7*G7</f>
        <v>9.9</v>
      </c>
    </row>
    <row r="8" spans="1:8" x14ac:dyDescent="0.2">
      <c r="A8" s="2" t="s">
        <v>179</v>
      </c>
      <c r="B8">
        <v>23442</v>
      </c>
      <c r="C8" t="s">
        <v>180</v>
      </c>
      <c r="D8" t="s">
        <v>181</v>
      </c>
      <c r="E8">
        <v>7.97</v>
      </c>
      <c r="F8" s="4">
        <v>43862</v>
      </c>
      <c r="H8">
        <f>E8*G8</f>
        <v>0</v>
      </c>
    </row>
    <row r="9" spans="1:8" x14ac:dyDescent="0.2">
      <c r="A9" s="2" t="s">
        <v>182</v>
      </c>
      <c r="B9">
        <v>252122</v>
      </c>
      <c r="C9" t="s">
        <v>183</v>
      </c>
      <c r="D9" t="s">
        <v>181</v>
      </c>
      <c r="E9">
        <v>16.52</v>
      </c>
      <c r="F9" s="4">
        <v>44013</v>
      </c>
      <c r="G9">
        <v>0.25</v>
      </c>
      <c r="H9">
        <f>E9*G9</f>
        <v>4.13</v>
      </c>
    </row>
    <row r="10" spans="1:8" x14ac:dyDescent="0.2">
      <c r="A10" s="2" t="s">
        <v>184</v>
      </c>
      <c r="B10">
        <v>300153</v>
      </c>
      <c r="C10" t="s">
        <v>185</v>
      </c>
      <c r="D10" t="s">
        <v>181</v>
      </c>
      <c r="E10">
        <v>2.88</v>
      </c>
      <c r="F10" s="4">
        <v>43862</v>
      </c>
      <c r="H10">
        <f>E10*G10</f>
        <v>0</v>
      </c>
    </row>
    <row r="11" spans="1:8" x14ac:dyDescent="0.2">
      <c r="A11" s="2" t="s">
        <v>186</v>
      </c>
      <c r="B11">
        <v>300235</v>
      </c>
      <c r="C11" t="s">
        <v>173</v>
      </c>
      <c r="D11" t="s">
        <v>181</v>
      </c>
      <c r="E11">
        <v>13.44</v>
      </c>
      <c r="F11" s="4">
        <v>43862</v>
      </c>
      <c r="H11">
        <f>E11*G11</f>
        <v>0</v>
      </c>
    </row>
    <row r="12" spans="1:8" x14ac:dyDescent="0.2">
      <c r="A12" s="2" t="s">
        <v>187</v>
      </c>
      <c r="B12">
        <v>800632</v>
      </c>
      <c r="C12" s="8" t="s">
        <v>188</v>
      </c>
      <c r="D12" t="s">
        <v>189</v>
      </c>
      <c r="E12">
        <v>10.67</v>
      </c>
      <c r="F12" s="4">
        <v>44013</v>
      </c>
      <c r="G12">
        <v>2</v>
      </c>
      <c r="H12">
        <f>E12*G12</f>
        <v>21.34</v>
      </c>
    </row>
    <row r="13" spans="1:8" x14ac:dyDescent="0.2">
      <c r="A13" s="2" t="s">
        <v>190</v>
      </c>
      <c r="B13">
        <v>300971</v>
      </c>
      <c r="C13" t="s">
        <v>178</v>
      </c>
      <c r="D13" t="s">
        <v>189</v>
      </c>
      <c r="E13">
        <v>9.39</v>
      </c>
      <c r="F13" s="4">
        <v>43862</v>
      </c>
      <c r="H13">
        <f>E13*G13</f>
        <v>0</v>
      </c>
    </row>
    <row r="14" spans="1:8" x14ac:dyDescent="0.2">
      <c r="A14" s="2" t="s">
        <v>191</v>
      </c>
      <c r="B14">
        <v>412643</v>
      </c>
      <c r="C14" t="s">
        <v>192</v>
      </c>
      <c r="D14" t="s">
        <v>181</v>
      </c>
      <c r="E14">
        <v>10.25</v>
      </c>
      <c r="F14" s="4">
        <v>44013</v>
      </c>
      <c r="G14">
        <v>0.6</v>
      </c>
      <c r="H14">
        <f>E14*G14</f>
        <v>6.1499999999999995</v>
      </c>
    </row>
    <row r="15" spans="1:8" x14ac:dyDescent="0.2">
      <c r="A15" s="2" t="s">
        <v>193</v>
      </c>
      <c r="B15">
        <v>300172</v>
      </c>
      <c r="C15" s="8" t="s">
        <v>194</v>
      </c>
      <c r="D15" t="s">
        <v>181</v>
      </c>
      <c r="E15">
        <v>1.52</v>
      </c>
      <c r="F15" s="4">
        <v>43862</v>
      </c>
      <c r="G15">
        <v>1</v>
      </c>
      <c r="H15">
        <f>E15*G15</f>
        <v>1.52</v>
      </c>
    </row>
    <row r="16" spans="1:8" x14ac:dyDescent="0.2">
      <c r="A16" s="2" t="s">
        <v>195</v>
      </c>
      <c r="B16">
        <v>252221</v>
      </c>
      <c r="C16" t="s">
        <v>196</v>
      </c>
      <c r="D16" t="s">
        <v>181</v>
      </c>
      <c r="E16">
        <v>4.66</v>
      </c>
      <c r="F16" s="4">
        <v>44013</v>
      </c>
      <c r="G16">
        <v>0.5</v>
      </c>
      <c r="H16">
        <f>E16*G16</f>
        <v>2.33</v>
      </c>
    </row>
    <row r="17" spans="1:8" x14ac:dyDescent="0.2">
      <c r="A17" s="2" t="s">
        <v>197</v>
      </c>
      <c r="B17">
        <v>252163</v>
      </c>
      <c r="C17" t="s">
        <v>198</v>
      </c>
      <c r="D17" t="s">
        <v>181</v>
      </c>
      <c r="E17">
        <v>14.67</v>
      </c>
      <c r="F17" s="4">
        <v>44013</v>
      </c>
      <c r="G17">
        <v>0.9</v>
      </c>
      <c r="H17">
        <f>E17*G17</f>
        <v>13.202999999999999</v>
      </c>
    </row>
    <row r="18" spans="1:8" x14ac:dyDescent="0.2">
      <c r="A18" s="2" t="s">
        <v>199</v>
      </c>
      <c r="B18">
        <v>300504</v>
      </c>
      <c r="C18" t="s">
        <v>200</v>
      </c>
      <c r="D18" t="s">
        <v>201</v>
      </c>
      <c r="E18">
        <v>5.24</v>
      </c>
      <c r="F18" s="4">
        <v>43862</v>
      </c>
      <c r="H18">
        <f>E18*G18</f>
        <v>0</v>
      </c>
    </row>
    <row r="19" spans="1:8" x14ac:dyDescent="0.2">
      <c r="A19" s="2" t="s">
        <v>202</v>
      </c>
      <c r="B19">
        <v>195612</v>
      </c>
      <c r="C19" t="s">
        <v>203</v>
      </c>
      <c r="D19" t="s">
        <v>181</v>
      </c>
      <c r="E19">
        <v>7.04</v>
      </c>
      <c r="F19" s="4">
        <v>44013</v>
      </c>
      <c r="G19">
        <v>0.5</v>
      </c>
      <c r="H19">
        <f>E19*G19</f>
        <v>3.52</v>
      </c>
    </row>
    <row r="20" spans="1:8" x14ac:dyDescent="0.2">
      <c r="A20" s="2" t="s">
        <v>204</v>
      </c>
      <c r="B20">
        <v>213077</v>
      </c>
      <c r="C20" t="s">
        <v>185</v>
      </c>
      <c r="D20" t="s">
        <v>205</v>
      </c>
      <c r="E20">
        <v>8.61</v>
      </c>
      <c r="F20" s="4">
        <v>43862</v>
      </c>
      <c r="H20">
        <f>E20*G20</f>
        <v>0</v>
      </c>
    </row>
    <row r="21" spans="1:8" x14ac:dyDescent="0.2">
      <c r="A21" s="2" t="s">
        <v>206</v>
      </c>
      <c r="B21">
        <v>874635</v>
      </c>
      <c r="C21" t="s">
        <v>180</v>
      </c>
      <c r="D21" t="s">
        <v>205</v>
      </c>
      <c r="E21">
        <v>8.19</v>
      </c>
      <c r="F21" s="4">
        <v>43862</v>
      </c>
      <c r="G21">
        <v>0.8</v>
      </c>
      <c r="H21">
        <f>E21*G21</f>
        <v>6.5519999999999996</v>
      </c>
    </row>
    <row r="22" spans="1:8" x14ac:dyDescent="0.2">
      <c r="A22" s="2" t="s">
        <v>207</v>
      </c>
      <c r="B22">
        <v>805374</v>
      </c>
      <c r="C22" t="s">
        <v>178</v>
      </c>
      <c r="D22" t="s">
        <v>189</v>
      </c>
      <c r="E22">
        <v>13.94</v>
      </c>
      <c r="F22" s="4">
        <v>44013</v>
      </c>
      <c r="G22">
        <v>1</v>
      </c>
      <c r="H22">
        <f>E22*G22</f>
        <v>13.94</v>
      </c>
    </row>
    <row r="23" spans="1:8" x14ac:dyDescent="0.2">
      <c r="A23" s="2" t="s">
        <v>208</v>
      </c>
      <c r="B23">
        <v>216612</v>
      </c>
      <c r="C23" t="s">
        <v>173</v>
      </c>
      <c r="D23" t="s">
        <v>201</v>
      </c>
      <c r="E23">
        <v>4.45</v>
      </c>
      <c r="F23" s="4">
        <v>43862</v>
      </c>
      <c r="G23">
        <v>1</v>
      </c>
      <c r="H23">
        <f>E23*G23</f>
        <v>4.45</v>
      </c>
    </row>
    <row r="24" spans="1:8" x14ac:dyDescent="0.2">
      <c r="A24" s="2" t="s">
        <v>209</v>
      </c>
      <c r="B24">
        <v>248622</v>
      </c>
      <c r="C24" t="s">
        <v>178</v>
      </c>
      <c r="D24" t="s">
        <v>201</v>
      </c>
      <c r="E24">
        <v>8.5500000000000007</v>
      </c>
      <c r="F24" s="4">
        <v>43862</v>
      </c>
      <c r="G24">
        <v>0.72</v>
      </c>
      <c r="H24">
        <f>E24*G24</f>
        <v>6.1560000000000006</v>
      </c>
    </row>
    <row r="25" spans="1:8" x14ac:dyDescent="0.2">
      <c r="A25" s="2" t="s">
        <v>210</v>
      </c>
      <c r="B25">
        <v>806612</v>
      </c>
      <c r="C25" t="s">
        <v>211</v>
      </c>
      <c r="D25" t="s">
        <v>205</v>
      </c>
      <c r="E25">
        <v>15.49</v>
      </c>
      <c r="F25" s="4">
        <v>43862</v>
      </c>
      <c r="H25">
        <f>E25*G25</f>
        <v>0</v>
      </c>
    </row>
    <row r="26" spans="1:8" x14ac:dyDescent="0.2">
      <c r="A26" s="2" t="s">
        <v>212</v>
      </c>
      <c r="B26">
        <v>300508</v>
      </c>
      <c r="C26" t="s">
        <v>178</v>
      </c>
      <c r="D26" t="s">
        <v>88</v>
      </c>
      <c r="E26">
        <v>9.15</v>
      </c>
      <c r="F26" s="4">
        <v>44013</v>
      </c>
      <c r="G26">
        <v>0.4</v>
      </c>
      <c r="H26">
        <f>E26*G26</f>
        <v>3.66</v>
      </c>
    </row>
    <row r="27" spans="1:8" x14ac:dyDescent="0.2">
      <c r="A27" s="2" t="s">
        <v>213</v>
      </c>
      <c r="B27">
        <v>192040</v>
      </c>
      <c r="C27" t="s">
        <v>214</v>
      </c>
      <c r="D27" t="s">
        <v>215</v>
      </c>
      <c r="E27">
        <v>5.93</v>
      </c>
      <c r="F27" s="4">
        <v>43862</v>
      </c>
      <c r="G27">
        <v>0.2</v>
      </c>
      <c r="H27">
        <f>E27*G27</f>
        <v>1.1859999999999999</v>
      </c>
    </row>
    <row r="28" spans="1:8" x14ac:dyDescent="0.2">
      <c r="A28" s="2" t="s">
        <v>216</v>
      </c>
      <c r="B28">
        <v>300004</v>
      </c>
      <c r="C28" t="s">
        <v>176</v>
      </c>
      <c r="D28" t="s">
        <v>215</v>
      </c>
      <c r="E28">
        <v>1.41</v>
      </c>
      <c r="F28" s="4">
        <v>43862</v>
      </c>
      <c r="G28">
        <v>3</v>
      </c>
      <c r="H28">
        <f>E28*G28</f>
        <v>4.2299999999999995</v>
      </c>
    </row>
    <row r="29" spans="1:8" x14ac:dyDescent="0.2">
      <c r="A29" s="2" t="s">
        <v>217</v>
      </c>
      <c r="B29">
        <v>300862</v>
      </c>
      <c r="C29" t="s">
        <v>218</v>
      </c>
      <c r="D29" t="s">
        <v>219</v>
      </c>
      <c r="E29">
        <v>6.67</v>
      </c>
      <c r="F29" s="4">
        <v>43862</v>
      </c>
      <c r="G29">
        <v>1.2</v>
      </c>
      <c r="H29">
        <f>E29*G29</f>
        <v>8.0039999999999996</v>
      </c>
    </row>
    <row r="30" spans="1:8" x14ac:dyDescent="0.2">
      <c r="A30" s="2" t="s">
        <v>220</v>
      </c>
      <c r="B30">
        <v>300863</v>
      </c>
      <c r="C30" t="s">
        <v>218</v>
      </c>
      <c r="D30" t="s">
        <v>219</v>
      </c>
      <c r="E30">
        <v>25.7</v>
      </c>
      <c r="F30" s="4">
        <v>43862</v>
      </c>
      <c r="H30">
        <f>E30*G30</f>
        <v>0</v>
      </c>
    </row>
    <row r="31" spans="1:8" x14ac:dyDescent="0.2">
      <c r="A31" s="2" t="s">
        <v>221</v>
      </c>
      <c r="B31">
        <v>207098</v>
      </c>
      <c r="C31" t="s">
        <v>176</v>
      </c>
      <c r="D31" t="s">
        <v>215</v>
      </c>
      <c r="E31">
        <v>6.18</v>
      </c>
      <c r="F31" s="4">
        <v>43862</v>
      </c>
      <c r="H31">
        <f>E31*G31</f>
        <v>0</v>
      </c>
    </row>
    <row r="32" spans="1:8" x14ac:dyDescent="0.2">
      <c r="A32" s="2" t="s">
        <v>222</v>
      </c>
      <c r="B32">
        <v>207095</v>
      </c>
      <c r="C32" t="s">
        <v>223</v>
      </c>
      <c r="D32" t="s">
        <v>201</v>
      </c>
      <c r="E32">
        <v>5.93</v>
      </c>
      <c r="F32" s="4">
        <v>43862</v>
      </c>
      <c r="H32">
        <f>E32*G32</f>
        <v>0</v>
      </c>
    </row>
    <row r="33" spans="1:8" x14ac:dyDescent="0.2">
      <c r="A33" s="2" t="s">
        <v>224</v>
      </c>
      <c r="B33">
        <v>473868</v>
      </c>
      <c r="C33" t="s">
        <v>178</v>
      </c>
      <c r="D33" t="s">
        <v>174</v>
      </c>
      <c r="E33">
        <v>4.76</v>
      </c>
      <c r="F33" s="4">
        <v>43862</v>
      </c>
      <c r="G33">
        <v>1</v>
      </c>
      <c r="H33">
        <f>E33*G33</f>
        <v>4.76</v>
      </c>
    </row>
    <row r="34" spans="1:8" x14ac:dyDescent="0.2">
      <c r="A34" s="2" t="s">
        <v>225</v>
      </c>
      <c r="B34">
        <v>209563</v>
      </c>
      <c r="C34" t="s">
        <v>226</v>
      </c>
      <c r="D34" t="s">
        <v>227</v>
      </c>
      <c r="E34">
        <v>50.777999999999999</v>
      </c>
      <c r="F34" s="4">
        <v>43862</v>
      </c>
      <c r="H34">
        <f>E34*G34</f>
        <v>0</v>
      </c>
    </row>
    <row r="35" spans="1:8" x14ac:dyDescent="0.2">
      <c r="A35" s="2" t="s">
        <v>228</v>
      </c>
      <c r="B35">
        <v>20964</v>
      </c>
      <c r="C35" t="s">
        <v>229</v>
      </c>
      <c r="D35" t="s">
        <v>227</v>
      </c>
      <c r="E35">
        <v>38.493000000000002</v>
      </c>
      <c r="F35" s="4">
        <v>43862</v>
      </c>
      <c r="G35">
        <v>2</v>
      </c>
      <c r="H35">
        <f>E35*G35</f>
        <v>76.986000000000004</v>
      </c>
    </row>
    <row r="36" spans="1:8" x14ac:dyDescent="0.2">
      <c r="A36" s="2" t="s">
        <v>230</v>
      </c>
      <c r="B36">
        <v>474437</v>
      </c>
      <c r="C36" t="s">
        <v>231</v>
      </c>
      <c r="D36" t="s">
        <v>174</v>
      </c>
      <c r="E36">
        <v>11.48</v>
      </c>
      <c r="F36" s="4">
        <v>43983</v>
      </c>
      <c r="G36">
        <v>1</v>
      </c>
      <c r="H36">
        <f>E36*G36</f>
        <v>11.48</v>
      </c>
    </row>
    <row r="37" spans="1:8" x14ac:dyDescent="0.2">
      <c r="A37" s="2" t="s">
        <v>232</v>
      </c>
      <c r="B37">
        <v>424879</v>
      </c>
      <c r="C37" t="s">
        <v>233</v>
      </c>
      <c r="D37" t="s">
        <v>181</v>
      </c>
      <c r="E37">
        <v>14.08</v>
      </c>
      <c r="F37" s="4">
        <v>44013</v>
      </c>
      <c r="G37">
        <v>0.5</v>
      </c>
      <c r="H37">
        <f>E37*G37</f>
        <v>7.04</v>
      </c>
    </row>
    <row r="38" spans="1:8" x14ac:dyDescent="0.2">
      <c r="A38" s="2" t="s">
        <v>234</v>
      </c>
      <c r="B38">
        <v>300509</v>
      </c>
      <c r="C38" t="s">
        <v>200</v>
      </c>
      <c r="D38" t="s">
        <v>114</v>
      </c>
      <c r="E38">
        <v>33.369999999999997</v>
      </c>
      <c r="F38" s="4">
        <v>44013</v>
      </c>
      <c r="G38">
        <v>0.8</v>
      </c>
      <c r="H38">
        <f>E38*G38</f>
        <v>26.695999999999998</v>
      </c>
    </row>
    <row r="39" spans="1:8" x14ac:dyDescent="0.2">
      <c r="A39" s="2" t="s">
        <v>235</v>
      </c>
      <c r="B39">
        <v>250598</v>
      </c>
      <c r="C39" t="s">
        <v>236</v>
      </c>
      <c r="D39" t="s">
        <v>237</v>
      </c>
      <c r="E39">
        <v>9.6210000000000004</v>
      </c>
      <c r="F39" s="4">
        <v>43862</v>
      </c>
      <c r="G39">
        <v>0.5</v>
      </c>
      <c r="H39">
        <f>E39*G39</f>
        <v>4.8105000000000002</v>
      </c>
    </row>
    <row r="40" spans="1:8" x14ac:dyDescent="0.2">
      <c r="A40" s="2" t="s">
        <v>238</v>
      </c>
      <c r="B40">
        <v>203623</v>
      </c>
      <c r="C40" t="s">
        <v>236</v>
      </c>
      <c r="D40" t="s">
        <v>189</v>
      </c>
      <c r="E40">
        <v>5.58</v>
      </c>
      <c r="F40" s="4">
        <v>43862</v>
      </c>
      <c r="G40">
        <v>2</v>
      </c>
      <c r="H40">
        <f>E40*G40</f>
        <v>11.16</v>
      </c>
    </row>
    <row r="41" spans="1:8" x14ac:dyDescent="0.2">
      <c r="A41" s="2" t="s">
        <v>239</v>
      </c>
      <c r="B41">
        <v>300516</v>
      </c>
      <c r="C41" t="s">
        <v>236</v>
      </c>
      <c r="D41" t="s">
        <v>189</v>
      </c>
      <c r="E41">
        <v>14.195</v>
      </c>
      <c r="F41" s="4">
        <v>43862</v>
      </c>
      <c r="G41">
        <v>0.6</v>
      </c>
      <c r="H41">
        <f>E41*G41</f>
        <v>8.5169999999999995</v>
      </c>
    </row>
    <row r="42" spans="1:8" x14ac:dyDescent="0.2">
      <c r="A42" s="2" t="s">
        <v>240</v>
      </c>
      <c r="B42">
        <v>300531</v>
      </c>
      <c r="C42" t="s">
        <v>241</v>
      </c>
      <c r="D42" t="s">
        <v>174</v>
      </c>
      <c r="E42">
        <v>12.63</v>
      </c>
      <c r="F42" s="4">
        <v>44013</v>
      </c>
      <c r="G42">
        <v>0.1</v>
      </c>
      <c r="H42">
        <f>E42*G42</f>
        <v>1.2630000000000001</v>
      </c>
    </row>
    <row r="43" spans="1:8" x14ac:dyDescent="0.2">
      <c r="A43" s="2" t="s">
        <v>242</v>
      </c>
      <c r="B43">
        <v>373343</v>
      </c>
      <c r="C43" t="s">
        <v>236</v>
      </c>
      <c r="D43" t="s">
        <v>181</v>
      </c>
      <c r="E43">
        <v>6.5880000000000001</v>
      </c>
      <c r="F43" s="4">
        <v>43862</v>
      </c>
      <c r="H43">
        <f>E43*G43</f>
        <v>0</v>
      </c>
    </row>
    <row r="44" spans="1:8" x14ac:dyDescent="0.2">
      <c r="A44" s="2" t="s">
        <v>243</v>
      </c>
      <c r="B44">
        <v>844860</v>
      </c>
      <c r="C44" t="s">
        <v>244</v>
      </c>
      <c r="D44" t="s">
        <v>237</v>
      </c>
      <c r="E44">
        <v>1.3859999999999999</v>
      </c>
      <c r="F44" s="4">
        <v>43862</v>
      </c>
      <c r="G44">
        <v>6</v>
      </c>
      <c r="H44">
        <f>E44*G44</f>
        <v>8.3159999999999989</v>
      </c>
    </row>
    <row r="45" spans="1:8" x14ac:dyDescent="0.2">
      <c r="A45" s="2" t="s">
        <v>245</v>
      </c>
      <c r="B45">
        <v>416867</v>
      </c>
      <c r="C45" t="s">
        <v>246</v>
      </c>
      <c r="D45" t="s">
        <v>181</v>
      </c>
      <c r="E45">
        <v>9.0500000000000007</v>
      </c>
      <c r="F45" s="4">
        <v>44013</v>
      </c>
      <c r="G45">
        <v>0.5</v>
      </c>
      <c r="H45">
        <f>E45*G45</f>
        <v>4.5250000000000004</v>
      </c>
    </row>
    <row r="46" spans="1:8" x14ac:dyDescent="0.2">
      <c r="A46" s="2" t="s">
        <v>247</v>
      </c>
      <c r="B46">
        <v>301129</v>
      </c>
      <c r="C46" t="s">
        <v>236</v>
      </c>
      <c r="D46" t="s">
        <v>189</v>
      </c>
      <c r="E46">
        <v>8.9</v>
      </c>
      <c r="F46" s="4">
        <v>43862</v>
      </c>
      <c r="H46">
        <f>E46*G46</f>
        <v>0</v>
      </c>
    </row>
    <row r="47" spans="1:8" x14ac:dyDescent="0.2">
      <c r="A47" s="2" t="s">
        <v>248</v>
      </c>
      <c r="B47">
        <v>940283</v>
      </c>
      <c r="C47" t="s">
        <v>249</v>
      </c>
      <c r="D47" t="s">
        <v>154</v>
      </c>
      <c r="E47">
        <v>4.1260000000000003</v>
      </c>
      <c r="F47" s="4">
        <v>43862</v>
      </c>
      <c r="H47">
        <f>E47*G47</f>
        <v>0</v>
      </c>
    </row>
    <row r="48" spans="1:8" x14ac:dyDescent="0.2">
      <c r="A48" s="3" t="s">
        <v>250</v>
      </c>
      <c r="B48">
        <v>206421</v>
      </c>
      <c r="C48" t="s">
        <v>251</v>
      </c>
      <c r="D48" t="s">
        <v>154</v>
      </c>
      <c r="E48">
        <v>16.5</v>
      </c>
      <c r="F48" s="4">
        <v>43862</v>
      </c>
      <c r="G48">
        <v>1</v>
      </c>
      <c r="H48">
        <f>E48*G48</f>
        <v>16.5</v>
      </c>
    </row>
    <row r="49" spans="1:8" x14ac:dyDescent="0.2">
      <c r="A49" s="2" t="s">
        <v>252</v>
      </c>
      <c r="B49">
        <v>674325</v>
      </c>
      <c r="C49" t="s">
        <v>176</v>
      </c>
      <c r="D49" t="s">
        <v>154</v>
      </c>
      <c r="E49">
        <v>15.007999999999999</v>
      </c>
      <c r="F49" s="4">
        <v>43862</v>
      </c>
      <c r="G49">
        <v>0</v>
      </c>
      <c r="H49">
        <f>E49*G49</f>
        <v>0</v>
      </c>
    </row>
    <row r="50" spans="1:8" x14ac:dyDescent="0.2">
      <c r="A50" s="2" t="s">
        <v>253</v>
      </c>
      <c r="B50">
        <v>207479</v>
      </c>
      <c r="C50" t="s">
        <v>254</v>
      </c>
      <c r="D50" t="s">
        <v>189</v>
      </c>
      <c r="E50">
        <v>12.5</v>
      </c>
      <c r="F50" s="4">
        <v>43862</v>
      </c>
      <c r="H50">
        <f>E50*G50</f>
        <v>0</v>
      </c>
    </row>
    <row r="51" spans="1:8" x14ac:dyDescent="0.2">
      <c r="A51" s="2" t="s">
        <v>255</v>
      </c>
      <c r="B51">
        <v>103176</v>
      </c>
      <c r="C51" t="s">
        <v>256</v>
      </c>
      <c r="D51" t="s">
        <v>189</v>
      </c>
      <c r="E51">
        <v>5.9889999999999999</v>
      </c>
      <c r="F51" s="4">
        <v>43862</v>
      </c>
      <c r="H51">
        <f>E51*G51</f>
        <v>0</v>
      </c>
    </row>
    <row r="52" spans="1:8" x14ac:dyDescent="0.2">
      <c r="A52" s="2" t="s">
        <v>257</v>
      </c>
      <c r="B52">
        <v>300594</v>
      </c>
      <c r="C52" t="s">
        <v>178</v>
      </c>
      <c r="D52" t="s">
        <v>181</v>
      </c>
      <c r="E52">
        <v>12.5</v>
      </c>
      <c r="F52" s="4">
        <v>43862</v>
      </c>
      <c r="H52">
        <f>E52*G52</f>
        <v>0</v>
      </c>
    </row>
    <row r="53" spans="1:8" x14ac:dyDescent="0.2">
      <c r="A53" s="2" t="s">
        <v>258</v>
      </c>
      <c r="B53">
        <v>300239</v>
      </c>
      <c r="C53" t="s">
        <v>173</v>
      </c>
      <c r="D53" t="s">
        <v>181</v>
      </c>
      <c r="E53">
        <v>26.596</v>
      </c>
      <c r="F53" s="4">
        <v>43862</v>
      </c>
      <c r="G53">
        <v>2</v>
      </c>
      <c r="H53">
        <f>E53*G53</f>
        <v>53.192</v>
      </c>
    </row>
    <row r="54" spans="1:8" x14ac:dyDescent="0.2">
      <c r="A54" s="2" t="s">
        <v>66</v>
      </c>
      <c r="B54">
        <v>206975</v>
      </c>
      <c r="C54" t="s">
        <v>259</v>
      </c>
      <c r="D54" t="s">
        <v>154</v>
      </c>
      <c r="E54">
        <v>10.23</v>
      </c>
      <c r="F54" s="4">
        <v>43862</v>
      </c>
      <c r="G54">
        <v>1</v>
      </c>
      <c r="H54">
        <f>E54*G54</f>
        <v>10.23</v>
      </c>
    </row>
    <row r="55" spans="1:8" x14ac:dyDescent="0.2">
      <c r="A55" s="2" t="s">
        <v>260</v>
      </c>
      <c r="B55">
        <v>300461</v>
      </c>
      <c r="C55" t="s">
        <v>261</v>
      </c>
      <c r="D55" t="s">
        <v>154</v>
      </c>
      <c r="E55" s="2">
        <v>0.749</v>
      </c>
      <c r="F55" s="4">
        <v>43862</v>
      </c>
      <c r="G55">
        <v>1</v>
      </c>
      <c r="H55">
        <f>E55*G55</f>
        <v>0.749</v>
      </c>
    </row>
    <row r="56" spans="1:8" x14ac:dyDescent="0.2">
      <c r="A56" s="2" t="s">
        <v>262</v>
      </c>
      <c r="B56">
        <v>206846</v>
      </c>
      <c r="C56" t="s">
        <v>263</v>
      </c>
      <c r="D56" t="s">
        <v>181</v>
      </c>
      <c r="E56">
        <v>7.96</v>
      </c>
      <c r="F56" s="4">
        <v>43862</v>
      </c>
      <c r="G56">
        <v>4.4999999999999998E-2</v>
      </c>
      <c r="H56">
        <f>E56*G56</f>
        <v>0.35819999999999996</v>
      </c>
    </row>
    <row r="58" spans="1:8" x14ac:dyDescent="0.2">
      <c r="A58" s="5" t="s">
        <v>264</v>
      </c>
      <c r="B58" s="5"/>
      <c r="C58" s="5"/>
      <c r="D58" s="5"/>
      <c r="E58" s="5"/>
      <c r="F58" s="5">
        <f>SUM(H3:H56)</f>
        <v>390.35369999999995</v>
      </c>
      <c r="G58" s="5"/>
      <c r="H58" s="5"/>
    </row>
    <row r="60" spans="1:8" x14ac:dyDescent="0.2">
      <c r="A60" s="5" t="s">
        <v>265</v>
      </c>
      <c r="B60" s="5"/>
      <c r="C60" s="5"/>
      <c r="D60" s="5"/>
      <c r="E60" s="5"/>
      <c r="F60" s="5"/>
      <c r="G60" s="5"/>
      <c r="H60" s="5"/>
    </row>
    <row r="61" spans="1:8" x14ac:dyDescent="0.2">
      <c r="A61" s="2" t="s">
        <v>266</v>
      </c>
      <c r="B61" s="9">
        <v>300920</v>
      </c>
      <c r="C61" t="s">
        <v>267</v>
      </c>
      <c r="D61" t="s">
        <v>88</v>
      </c>
      <c r="E61">
        <v>12.24</v>
      </c>
      <c r="F61" s="4">
        <v>43862</v>
      </c>
      <c r="H61">
        <f>E61*G61</f>
        <v>0</v>
      </c>
    </row>
    <row r="62" spans="1:8" x14ac:dyDescent="0.2">
      <c r="A62" s="2" t="s">
        <v>268</v>
      </c>
      <c r="B62" s="9">
        <v>249604</v>
      </c>
      <c r="C62" t="s">
        <v>269</v>
      </c>
      <c r="D62" t="s">
        <v>88</v>
      </c>
      <c r="E62">
        <v>3.98</v>
      </c>
      <c r="F62" s="4">
        <v>43862</v>
      </c>
      <c r="H62">
        <f t="shared" ref="H62:H83" si="0">E62*G62</f>
        <v>0</v>
      </c>
    </row>
    <row r="63" spans="1:8" x14ac:dyDescent="0.2">
      <c r="A63" s="2" t="s">
        <v>270</v>
      </c>
      <c r="B63" s="9">
        <v>300914</v>
      </c>
      <c r="C63" t="s">
        <v>271</v>
      </c>
      <c r="D63" t="s">
        <v>88</v>
      </c>
      <c r="E63">
        <v>8.74</v>
      </c>
      <c r="F63" s="4">
        <v>43862</v>
      </c>
      <c r="H63">
        <f t="shared" si="0"/>
        <v>0</v>
      </c>
    </row>
    <row r="64" spans="1:8" x14ac:dyDescent="0.2">
      <c r="A64" s="2" t="s">
        <v>272</v>
      </c>
      <c r="B64" s="9">
        <v>300632</v>
      </c>
      <c r="C64" t="s">
        <v>273</v>
      </c>
      <c r="D64" t="s">
        <v>88</v>
      </c>
      <c r="E64">
        <v>5.45</v>
      </c>
      <c r="F64" s="4">
        <v>43862</v>
      </c>
      <c r="H64">
        <f t="shared" si="0"/>
        <v>0</v>
      </c>
    </row>
    <row r="65" spans="1:8" x14ac:dyDescent="0.2">
      <c r="A65" s="2" t="s">
        <v>274</v>
      </c>
      <c r="B65" s="9">
        <v>113217</v>
      </c>
      <c r="C65" t="s">
        <v>275</v>
      </c>
      <c r="D65" t="s">
        <v>88</v>
      </c>
      <c r="E65">
        <v>12.992000000000001</v>
      </c>
      <c r="F65" s="4">
        <v>43862</v>
      </c>
      <c r="H65">
        <f t="shared" si="0"/>
        <v>0</v>
      </c>
    </row>
    <row r="66" spans="1:8" x14ac:dyDescent="0.2">
      <c r="A66" s="2" t="s">
        <v>276</v>
      </c>
      <c r="B66" s="9">
        <v>301152</v>
      </c>
      <c r="C66" t="s">
        <v>277</v>
      </c>
      <c r="D66" t="s">
        <v>88</v>
      </c>
      <c r="E66">
        <v>13.4</v>
      </c>
      <c r="F66" s="4">
        <v>43862</v>
      </c>
      <c r="H66">
        <f t="shared" si="0"/>
        <v>0</v>
      </c>
    </row>
    <row r="67" spans="1:8" x14ac:dyDescent="0.2">
      <c r="A67" s="2" t="s">
        <v>278</v>
      </c>
      <c r="B67" s="9">
        <v>377572</v>
      </c>
      <c r="C67" t="s">
        <v>279</v>
      </c>
      <c r="D67" t="s">
        <v>88</v>
      </c>
      <c r="E67">
        <v>4.7</v>
      </c>
      <c r="F67" s="4">
        <v>43862</v>
      </c>
      <c r="G67">
        <v>4</v>
      </c>
      <c r="H67">
        <f t="shared" si="0"/>
        <v>18.8</v>
      </c>
    </row>
    <row r="68" spans="1:8" x14ac:dyDescent="0.2">
      <c r="A68" s="2" t="s">
        <v>280</v>
      </c>
      <c r="B68" s="9">
        <v>300848</v>
      </c>
      <c r="C68" t="s">
        <v>281</v>
      </c>
      <c r="D68" t="s">
        <v>281</v>
      </c>
      <c r="E68">
        <v>2.19</v>
      </c>
      <c r="F68" s="4">
        <v>44013</v>
      </c>
      <c r="G68">
        <v>6</v>
      </c>
      <c r="H68">
        <f t="shared" si="0"/>
        <v>13.14</v>
      </c>
    </row>
    <row r="69" spans="1:8" x14ac:dyDescent="0.2">
      <c r="A69" s="2" t="s">
        <v>282</v>
      </c>
      <c r="B69" s="9">
        <v>426012</v>
      </c>
      <c r="C69" t="s">
        <v>218</v>
      </c>
      <c r="D69" t="s">
        <v>88</v>
      </c>
      <c r="E69">
        <v>4.18</v>
      </c>
      <c r="F69" s="4">
        <v>43862</v>
      </c>
      <c r="H69">
        <f t="shared" si="0"/>
        <v>0</v>
      </c>
    </row>
    <row r="70" spans="1:8" x14ac:dyDescent="0.2">
      <c r="A70" s="2" t="s">
        <v>21</v>
      </c>
      <c r="B70" s="9">
        <v>300542</v>
      </c>
      <c r="C70" t="s">
        <v>269</v>
      </c>
      <c r="D70" t="s">
        <v>189</v>
      </c>
      <c r="E70">
        <v>5.19</v>
      </c>
      <c r="F70" s="4">
        <v>43862</v>
      </c>
      <c r="G70">
        <v>1</v>
      </c>
      <c r="H70">
        <f t="shared" si="0"/>
        <v>5.19</v>
      </c>
    </row>
    <row r="71" spans="1:8" x14ac:dyDescent="0.2">
      <c r="A71" s="2" t="s">
        <v>283</v>
      </c>
      <c r="B71" s="2">
        <v>113092</v>
      </c>
      <c r="C71" t="s">
        <v>284</v>
      </c>
      <c r="D71" t="s">
        <v>285</v>
      </c>
      <c r="E71">
        <v>8.4000000000000005E-2</v>
      </c>
      <c r="F71" s="4">
        <v>43862</v>
      </c>
      <c r="H71">
        <f t="shared" si="0"/>
        <v>0</v>
      </c>
    </row>
    <row r="72" spans="1:8" x14ac:dyDescent="0.2">
      <c r="A72" s="2" t="s">
        <v>286</v>
      </c>
      <c r="B72" s="9">
        <v>639823</v>
      </c>
      <c r="C72" t="s">
        <v>287</v>
      </c>
      <c r="D72" t="s">
        <v>88</v>
      </c>
      <c r="E72">
        <v>17.542000000000002</v>
      </c>
      <c r="F72" s="4">
        <v>43862</v>
      </c>
      <c r="H72">
        <f t="shared" si="0"/>
        <v>0</v>
      </c>
    </row>
    <row r="73" spans="1:8" x14ac:dyDescent="0.2">
      <c r="A73" s="2" t="s">
        <v>288</v>
      </c>
      <c r="B73" s="9">
        <v>221191</v>
      </c>
      <c r="C73" t="s">
        <v>173</v>
      </c>
      <c r="D73" t="s">
        <v>88</v>
      </c>
      <c r="E73">
        <v>14.981999999999999</v>
      </c>
      <c r="F73" s="4">
        <v>43862</v>
      </c>
      <c r="H73">
        <f t="shared" si="0"/>
        <v>0</v>
      </c>
    </row>
    <row r="74" spans="1:8" x14ac:dyDescent="0.2">
      <c r="A74" s="2" t="s">
        <v>289</v>
      </c>
      <c r="B74" s="9">
        <v>203996</v>
      </c>
      <c r="C74" t="s">
        <v>180</v>
      </c>
      <c r="D74" t="s">
        <v>88</v>
      </c>
      <c r="E74">
        <v>10.124000000000001</v>
      </c>
      <c r="F74" s="4">
        <v>43862</v>
      </c>
      <c r="H74">
        <f t="shared" si="0"/>
        <v>0</v>
      </c>
    </row>
    <row r="75" spans="1:8" x14ac:dyDescent="0.2">
      <c r="A75" s="2" t="s">
        <v>290</v>
      </c>
      <c r="B75" s="9">
        <v>300718</v>
      </c>
      <c r="C75" t="s">
        <v>173</v>
      </c>
      <c r="D75" t="s">
        <v>88</v>
      </c>
      <c r="E75">
        <v>6.6</v>
      </c>
      <c r="F75" s="4">
        <v>43862</v>
      </c>
      <c r="H75">
        <f t="shared" si="0"/>
        <v>0</v>
      </c>
    </row>
    <row r="76" spans="1:8" x14ac:dyDescent="0.2">
      <c r="A76" s="2" t="s">
        <v>291</v>
      </c>
      <c r="B76" s="9">
        <v>300775</v>
      </c>
      <c r="C76" t="s">
        <v>269</v>
      </c>
      <c r="D76" t="s">
        <v>189</v>
      </c>
      <c r="E76">
        <v>4.99</v>
      </c>
      <c r="F76" s="4">
        <v>43862</v>
      </c>
      <c r="H76">
        <f t="shared" si="0"/>
        <v>0</v>
      </c>
    </row>
    <row r="77" spans="1:8" x14ac:dyDescent="0.2">
      <c r="A77" s="2" t="s">
        <v>292</v>
      </c>
      <c r="B77" s="9">
        <v>639856</v>
      </c>
      <c r="C77" t="s">
        <v>198</v>
      </c>
      <c r="D77" t="s">
        <v>88</v>
      </c>
      <c r="E77">
        <v>19.649999999999999</v>
      </c>
      <c r="F77" s="4">
        <v>43862</v>
      </c>
      <c r="H77">
        <f t="shared" si="0"/>
        <v>0</v>
      </c>
    </row>
    <row r="78" spans="1:8" x14ac:dyDescent="0.2">
      <c r="A78" s="2" t="s">
        <v>293</v>
      </c>
      <c r="B78" s="9">
        <v>639831</v>
      </c>
      <c r="C78" t="s">
        <v>198</v>
      </c>
      <c r="D78" t="s">
        <v>88</v>
      </c>
      <c r="E78">
        <v>19.501999999999999</v>
      </c>
      <c r="F78" s="4">
        <v>43862</v>
      </c>
      <c r="H78">
        <f t="shared" si="0"/>
        <v>0</v>
      </c>
    </row>
    <row r="79" spans="1:8" x14ac:dyDescent="0.2">
      <c r="A79" s="2" t="s">
        <v>294</v>
      </c>
      <c r="B79" s="9">
        <v>22117</v>
      </c>
      <c r="C79" t="s">
        <v>295</v>
      </c>
      <c r="D79" t="s">
        <v>88</v>
      </c>
      <c r="E79">
        <v>17.864999999999998</v>
      </c>
      <c r="F79" s="4">
        <v>43862</v>
      </c>
      <c r="H79">
        <f t="shared" si="0"/>
        <v>0</v>
      </c>
    </row>
    <row r="80" spans="1:8" x14ac:dyDescent="0.2">
      <c r="A80" s="2" t="s">
        <v>296</v>
      </c>
      <c r="B80" s="14">
        <v>980505</v>
      </c>
      <c r="C80" t="s">
        <v>269</v>
      </c>
      <c r="D80" t="s">
        <v>297</v>
      </c>
      <c r="E80">
        <v>10.74</v>
      </c>
      <c r="F80" s="4">
        <v>43862</v>
      </c>
      <c r="H80">
        <f t="shared" si="0"/>
        <v>0</v>
      </c>
    </row>
    <row r="81" spans="1:8" x14ac:dyDescent="0.2">
      <c r="A81" s="2" t="s">
        <v>298</v>
      </c>
      <c r="B81" s="9">
        <v>300916</v>
      </c>
      <c r="C81" t="s">
        <v>299</v>
      </c>
      <c r="D81" t="s">
        <v>88</v>
      </c>
      <c r="E81">
        <v>8.9600000000000009</v>
      </c>
      <c r="F81" s="4">
        <v>43862</v>
      </c>
      <c r="H81">
        <f t="shared" si="0"/>
        <v>0</v>
      </c>
    </row>
    <row r="82" spans="1:8" x14ac:dyDescent="0.2">
      <c r="A82" s="2" t="s">
        <v>300</v>
      </c>
      <c r="B82" s="9">
        <v>300996</v>
      </c>
      <c r="C82" t="s">
        <v>180</v>
      </c>
      <c r="D82" t="s">
        <v>88</v>
      </c>
      <c r="E82">
        <v>17.010000000000002</v>
      </c>
      <c r="F82" s="4">
        <v>43862</v>
      </c>
      <c r="G82">
        <v>0.75</v>
      </c>
      <c r="H82">
        <f t="shared" si="0"/>
        <v>12.7575</v>
      </c>
    </row>
    <row r="83" spans="1:8" x14ac:dyDescent="0.2">
      <c r="A83" s="2" t="s">
        <v>301</v>
      </c>
      <c r="B83" s="9">
        <v>300918</v>
      </c>
      <c r="C83" t="s">
        <v>302</v>
      </c>
      <c r="D83" t="s">
        <v>88</v>
      </c>
      <c r="E83">
        <v>10.98</v>
      </c>
      <c r="F83" s="4">
        <v>43862</v>
      </c>
      <c r="H83">
        <f t="shared" si="0"/>
        <v>0</v>
      </c>
    </row>
    <row r="85" spans="1:8" x14ac:dyDescent="0.2">
      <c r="A85" s="5" t="s">
        <v>303</v>
      </c>
      <c r="B85" s="5"/>
      <c r="C85" s="5"/>
      <c r="D85" s="5"/>
      <c r="E85" s="5"/>
      <c r="F85" s="5"/>
      <c r="G85" s="5"/>
      <c r="H85" s="5">
        <f>SUM(H61:H83)</f>
        <v>49.887500000000003</v>
      </c>
    </row>
    <row r="87" spans="1:8" x14ac:dyDescent="0.2">
      <c r="A87" s="5" t="s">
        <v>304</v>
      </c>
      <c r="B87" s="5"/>
      <c r="C87" s="5"/>
      <c r="D87" s="5"/>
      <c r="E87" s="5"/>
      <c r="F87" s="5"/>
      <c r="G87" s="5"/>
      <c r="H87" s="5"/>
    </row>
    <row r="88" spans="1:8" x14ac:dyDescent="0.2">
      <c r="A88" s="2" t="s">
        <v>305</v>
      </c>
      <c r="B88">
        <v>257636</v>
      </c>
      <c r="C88" t="s">
        <v>306</v>
      </c>
      <c r="D88" t="s">
        <v>88</v>
      </c>
      <c r="E88" s="17">
        <v>15.35</v>
      </c>
      <c r="F88" s="4">
        <v>43891</v>
      </c>
      <c r="H88">
        <f>E88*G88</f>
        <v>0</v>
      </c>
    </row>
    <row r="89" spans="1:8" x14ac:dyDescent="0.2">
      <c r="A89" s="2" t="s">
        <v>307</v>
      </c>
      <c r="B89">
        <v>479642</v>
      </c>
      <c r="C89" t="s">
        <v>308</v>
      </c>
      <c r="D89" t="s">
        <v>88</v>
      </c>
      <c r="E89" s="17">
        <v>7.75</v>
      </c>
      <c r="F89" s="4">
        <v>43983</v>
      </c>
      <c r="G89">
        <v>10.6</v>
      </c>
      <c r="H89">
        <f t="shared" ref="H89:H113" si="1">E89*G89</f>
        <v>82.149999999999991</v>
      </c>
    </row>
    <row r="90" spans="1:8" x14ac:dyDescent="0.2">
      <c r="A90" s="2" t="s">
        <v>309</v>
      </c>
      <c r="B90">
        <v>244266</v>
      </c>
      <c r="C90" t="s">
        <v>310</v>
      </c>
      <c r="D90" t="s">
        <v>88</v>
      </c>
      <c r="E90" s="17">
        <v>8.6319999999999997</v>
      </c>
      <c r="F90" s="4">
        <v>43891</v>
      </c>
      <c r="G90">
        <v>2</v>
      </c>
      <c r="H90">
        <f t="shared" si="1"/>
        <v>17.263999999999999</v>
      </c>
    </row>
    <row r="91" spans="1:8" x14ac:dyDescent="0.2">
      <c r="A91" s="2" t="s">
        <v>311</v>
      </c>
      <c r="B91">
        <v>480632</v>
      </c>
      <c r="C91" t="s">
        <v>200</v>
      </c>
      <c r="D91" t="s">
        <v>312</v>
      </c>
      <c r="E91" s="17">
        <v>19.899999999999999</v>
      </c>
      <c r="F91" s="4">
        <v>43891</v>
      </c>
      <c r="G91">
        <v>1.7</v>
      </c>
      <c r="H91">
        <f t="shared" si="1"/>
        <v>33.83</v>
      </c>
    </row>
    <row r="92" spans="1:8" x14ac:dyDescent="0.2">
      <c r="A92" s="2" t="s">
        <v>313</v>
      </c>
      <c r="B92">
        <v>920587</v>
      </c>
      <c r="C92" t="s">
        <v>314</v>
      </c>
      <c r="D92" t="s">
        <v>88</v>
      </c>
      <c r="E92" s="17">
        <v>10.95</v>
      </c>
      <c r="F92" s="4">
        <v>43891</v>
      </c>
      <c r="H92">
        <f t="shared" si="1"/>
        <v>0</v>
      </c>
    </row>
    <row r="93" spans="1:8" x14ac:dyDescent="0.2">
      <c r="A93" s="2" t="s">
        <v>315</v>
      </c>
      <c r="B93">
        <v>300707</v>
      </c>
      <c r="C93" t="s">
        <v>316</v>
      </c>
      <c r="D93" t="s">
        <v>312</v>
      </c>
      <c r="E93" s="17">
        <v>3.47</v>
      </c>
      <c r="F93" s="4">
        <v>43891</v>
      </c>
      <c r="H93">
        <f t="shared" si="1"/>
        <v>0</v>
      </c>
    </row>
    <row r="94" spans="1:8" x14ac:dyDescent="0.2">
      <c r="A94" s="2" t="s">
        <v>317</v>
      </c>
      <c r="B94">
        <v>644625</v>
      </c>
      <c r="C94" t="s">
        <v>178</v>
      </c>
      <c r="D94" t="s">
        <v>114</v>
      </c>
      <c r="E94" s="17">
        <v>10.244</v>
      </c>
      <c r="F94" s="4">
        <v>43891</v>
      </c>
      <c r="H94">
        <f t="shared" si="1"/>
        <v>0</v>
      </c>
    </row>
    <row r="95" spans="1:8" x14ac:dyDescent="0.2">
      <c r="A95" s="2" t="s">
        <v>318</v>
      </c>
      <c r="B95">
        <v>920588</v>
      </c>
      <c r="C95" t="s">
        <v>277</v>
      </c>
      <c r="D95" t="s">
        <v>88</v>
      </c>
      <c r="E95" s="17">
        <v>9.1</v>
      </c>
      <c r="F95" s="4">
        <v>43891</v>
      </c>
      <c r="H95">
        <f t="shared" si="1"/>
        <v>0</v>
      </c>
    </row>
    <row r="96" spans="1:8" x14ac:dyDescent="0.2">
      <c r="A96" s="10" t="s">
        <v>319</v>
      </c>
      <c r="B96">
        <v>244877</v>
      </c>
      <c r="C96" t="s">
        <v>320</v>
      </c>
      <c r="D96" t="s">
        <v>88</v>
      </c>
      <c r="E96" s="18">
        <v>5.92</v>
      </c>
      <c r="F96" s="4">
        <v>43891</v>
      </c>
      <c r="H96">
        <f t="shared" si="1"/>
        <v>0</v>
      </c>
    </row>
    <row r="97" spans="1:8" x14ac:dyDescent="0.2">
      <c r="A97" s="2" t="s">
        <v>321</v>
      </c>
      <c r="B97">
        <v>300741</v>
      </c>
      <c r="C97" t="s">
        <v>322</v>
      </c>
      <c r="D97" t="s">
        <v>88</v>
      </c>
      <c r="E97" s="17">
        <v>34.091999999999999</v>
      </c>
      <c r="F97" s="4">
        <v>43891</v>
      </c>
      <c r="G97">
        <v>5.5</v>
      </c>
      <c r="H97">
        <f t="shared" si="1"/>
        <v>187.506</v>
      </c>
    </row>
    <row r="98" spans="1:8" x14ac:dyDescent="0.2">
      <c r="A98" s="2" t="s">
        <v>40</v>
      </c>
      <c r="B98">
        <v>300521</v>
      </c>
      <c r="C98" t="s">
        <v>178</v>
      </c>
      <c r="D98" t="s">
        <v>88</v>
      </c>
      <c r="E98" s="17">
        <v>6.69</v>
      </c>
      <c r="F98" s="4">
        <v>43891</v>
      </c>
      <c r="H98">
        <f t="shared" si="1"/>
        <v>0</v>
      </c>
    </row>
    <row r="99" spans="1:8" x14ac:dyDescent="0.2">
      <c r="A99" s="2" t="s">
        <v>323</v>
      </c>
      <c r="B99">
        <v>300742</v>
      </c>
      <c r="C99" t="s">
        <v>324</v>
      </c>
      <c r="D99" t="s">
        <v>88</v>
      </c>
      <c r="E99" s="17">
        <v>15.551</v>
      </c>
      <c r="F99" s="4">
        <v>43891</v>
      </c>
      <c r="G99">
        <v>2.4</v>
      </c>
      <c r="H99">
        <f t="shared" si="1"/>
        <v>37.322400000000002</v>
      </c>
    </row>
    <row r="100" spans="1:8" x14ac:dyDescent="0.2">
      <c r="A100" s="2" t="s">
        <v>325</v>
      </c>
      <c r="B100">
        <v>480830</v>
      </c>
      <c r="C100" t="s">
        <v>277</v>
      </c>
      <c r="D100" t="s">
        <v>114</v>
      </c>
      <c r="E100" s="17">
        <v>8.9499999999999993</v>
      </c>
      <c r="F100" s="4">
        <v>43891</v>
      </c>
      <c r="G100">
        <v>5</v>
      </c>
      <c r="H100">
        <f t="shared" si="1"/>
        <v>44.75</v>
      </c>
    </row>
    <row r="101" spans="1:8" x14ac:dyDescent="0.2">
      <c r="A101" s="2" t="s">
        <v>326</v>
      </c>
      <c r="B101">
        <v>480228</v>
      </c>
      <c r="C101" t="s">
        <v>327</v>
      </c>
      <c r="D101" t="s">
        <v>312</v>
      </c>
      <c r="E101" s="17">
        <v>22.5</v>
      </c>
      <c r="F101" s="4">
        <v>43891</v>
      </c>
      <c r="H101">
        <f t="shared" si="1"/>
        <v>0</v>
      </c>
    </row>
    <row r="102" spans="1:8" x14ac:dyDescent="0.2">
      <c r="A102" s="2" t="s">
        <v>328</v>
      </c>
      <c r="B102">
        <v>658575</v>
      </c>
      <c r="C102" t="s">
        <v>329</v>
      </c>
      <c r="D102" t="s">
        <v>88</v>
      </c>
      <c r="E102" s="17">
        <v>12.7</v>
      </c>
      <c r="F102" s="4">
        <v>43891</v>
      </c>
      <c r="G102">
        <v>2.7</v>
      </c>
      <c r="H102">
        <f t="shared" si="1"/>
        <v>34.29</v>
      </c>
    </row>
    <row r="103" spans="1:8" x14ac:dyDescent="0.2">
      <c r="A103" s="13" t="s">
        <v>330</v>
      </c>
      <c r="B103">
        <v>300083</v>
      </c>
      <c r="C103" t="s">
        <v>306</v>
      </c>
      <c r="D103" t="s">
        <v>88</v>
      </c>
      <c r="E103" s="19">
        <v>8.7899999999999991</v>
      </c>
      <c r="F103" s="4">
        <v>43891</v>
      </c>
      <c r="H103">
        <f t="shared" si="1"/>
        <v>0</v>
      </c>
    </row>
    <row r="104" spans="1:8" x14ac:dyDescent="0.2">
      <c r="A104" s="2" t="s">
        <v>331</v>
      </c>
      <c r="B104">
        <v>300093</v>
      </c>
      <c r="C104" t="s">
        <v>198</v>
      </c>
      <c r="D104" t="s">
        <v>88</v>
      </c>
      <c r="E104" s="17">
        <v>8.798</v>
      </c>
      <c r="F104" s="4">
        <v>43891</v>
      </c>
      <c r="G104">
        <v>0.8</v>
      </c>
      <c r="H104">
        <f t="shared" si="1"/>
        <v>7.0384000000000002</v>
      </c>
    </row>
    <row r="105" spans="1:8" x14ac:dyDescent="0.2">
      <c r="A105" s="2" t="s">
        <v>332</v>
      </c>
      <c r="B105">
        <v>617860</v>
      </c>
      <c r="C105" t="s">
        <v>333</v>
      </c>
      <c r="D105" t="s">
        <v>88</v>
      </c>
      <c r="E105" s="17">
        <v>3.48</v>
      </c>
      <c r="F105" s="4">
        <v>43983</v>
      </c>
      <c r="G105">
        <v>2</v>
      </c>
      <c r="H105">
        <f t="shared" si="1"/>
        <v>6.96</v>
      </c>
    </row>
    <row r="106" spans="1:8" x14ac:dyDescent="0.2">
      <c r="A106" s="2" t="s">
        <v>334</v>
      </c>
      <c r="B106">
        <v>204590</v>
      </c>
      <c r="C106" t="s">
        <v>335</v>
      </c>
      <c r="D106" t="s">
        <v>88</v>
      </c>
      <c r="E106" s="17">
        <v>19.95</v>
      </c>
      <c r="F106" s="4">
        <v>43891</v>
      </c>
      <c r="H106">
        <f t="shared" si="1"/>
        <v>0</v>
      </c>
    </row>
    <row r="107" spans="1:8" x14ac:dyDescent="0.2">
      <c r="A107" s="2" t="s">
        <v>336</v>
      </c>
      <c r="B107">
        <v>241737</v>
      </c>
      <c r="C107" t="s">
        <v>306</v>
      </c>
      <c r="D107" t="s">
        <v>88</v>
      </c>
      <c r="E107" s="17">
        <v>6.6</v>
      </c>
      <c r="F107" s="4">
        <v>43983</v>
      </c>
      <c r="G107">
        <v>5</v>
      </c>
      <c r="H107">
        <f t="shared" si="1"/>
        <v>33</v>
      </c>
    </row>
    <row r="108" spans="1:8" x14ac:dyDescent="0.2">
      <c r="A108" s="2" t="s">
        <v>337</v>
      </c>
      <c r="B108">
        <v>300755</v>
      </c>
      <c r="C108" t="s">
        <v>338</v>
      </c>
      <c r="D108" t="s">
        <v>88</v>
      </c>
      <c r="E108" s="17">
        <v>9.093</v>
      </c>
      <c r="F108" s="4">
        <v>43891</v>
      </c>
      <c r="H108">
        <f t="shared" si="1"/>
        <v>0</v>
      </c>
    </row>
    <row r="109" spans="1:8" x14ac:dyDescent="0.2">
      <c r="A109" s="2" t="s">
        <v>339</v>
      </c>
      <c r="B109">
        <v>200455</v>
      </c>
      <c r="C109" t="s">
        <v>340</v>
      </c>
      <c r="D109" t="s">
        <v>312</v>
      </c>
      <c r="E109" s="17">
        <v>12.164999999999999</v>
      </c>
      <c r="F109" s="4">
        <v>43891</v>
      </c>
      <c r="H109">
        <f t="shared" si="1"/>
        <v>0</v>
      </c>
    </row>
    <row r="110" spans="1:8" x14ac:dyDescent="0.2">
      <c r="A110" s="2" t="s">
        <v>341</v>
      </c>
      <c r="B110">
        <v>870207</v>
      </c>
      <c r="C110" t="s">
        <v>306</v>
      </c>
      <c r="D110" t="s">
        <v>88</v>
      </c>
      <c r="E110" s="17">
        <v>6.6</v>
      </c>
      <c r="F110" s="4">
        <v>43983</v>
      </c>
      <c r="G110">
        <v>4</v>
      </c>
      <c r="H110">
        <f t="shared" si="1"/>
        <v>26.4</v>
      </c>
    </row>
    <row r="111" spans="1:8" x14ac:dyDescent="0.2">
      <c r="A111" s="2" t="s">
        <v>342</v>
      </c>
      <c r="B111">
        <v>822258</v>
      </c>
      <c r="C111" t="s">
        <v>343</v>
      </c>
      <c r="D111" t="s">
        <v>88</v>
      </c>
      <c r="E111" s="17">
        <v>8.9499999999999993</v>
      </c>
      <c r="F111" s="4">
        <v>43891</v>
      </c>
      <c r="H111">
        <f t="shared" si="1"/>
        <v>0</v>
      </c>
    </row>
    <row r="112" spans="1:8" x14ac:dyDescent="0.2">
      <c r="A112" s="2" t="s">
        <v>344</v>
      </c>
      <c r="B112">
        <v>818203</v>
      </c>
      <c r="C112" t="s">
        <v>345</v>
      </c>
      <c r="D112" t="s">
        <v>88</v>
      </c>
      <c r="E112" s="17">
        <v>13.64</v>
      </c>
      <c r="F112" s="4">
        <v>43891</v>
      </c>
      <c r="H112">
        <f t="shared" si="1"/>
        <v>0</v>
      </c>
    </row>
    <row r="113" spans="1:8" x14ac:dyDescent="0.2">
      <c r="A113" s="2" t="s">
        <v>346</v>
      </c>
      <c r="B113">
        <v>221271</v>
      </c>
      <c r="C113" t="s">
        <v>347</v>
      </c>
      <c r="D113" t="s">
        <v>88</v>
      </c>
      <c r="E113" s="17">
        <v>8.2899999999999991</v>
      </c>
      <c r="F113" s="4">
        <v>43891</v>
      </c>
      <c r="H113">
        <f t="shared" si="1"/>
        <v>0</v>
      </c>
    </row>
    <row r="115" spans="1:8" x14ac:dyDescent="0.2">
      <c r="A115" s="5" t="s">
        <v>348</v>
      </c>
      <c r="B115" s="5"/>
      <c r="C115" s="5"/>
      <c r="D115" s="5"/>
      <c r="E115" s="5"/>
      <c r="F115" s="5"/>
      <c r="G115" s="5"/>
      <c r="H115" s="5">
        <f>SUM(H88:H113)</f>
        <v>510.51080000000002</v>
      </c>
    </row>
    <row r="117" spans="1:8" x14ac:dyDescent="0.2">
      <c r="A117" s="5" t="s">
        <v>349</v>
      </c>
      <c r="B117" s="5"/>
      <c r="C117" s="5"/>
      <c r="D117" s="5"/>
      <c r="E117" s="5"/>
      <c r="F117" s="5"/>
      <c r="G117" s="5"/>
      <c r="H117" s="5"/>
    </row>
    <row r="118" spans="1:8" x14ac:dyDescent="0.2">
      <c r="A118" s="2" t="s">
        <v>350</v>
      </c>
      <c r="B118">
        <v>646067</v>
      </c>
      <c r="C118" t="s">
        <v>338</v>
      </c>
      <c r="D118" t="s">
        <v>88</v>
      </c>
      <c r="E118" s="2">
        <v>24.44</v>
      </c>
      <c r="F118" s="4">
        <v>43891</v>
      </c>
      <c r="H118">
        <f>E118*G118</f>
        <v>0</v>
      </c>
    </row>
    <row r="119" spans="1:8" x14ac:dyDescent="0.2">
      <c r="A119" s="2" t="s">
        <v>351</v>
      </c>
      <c r="B119">
        <v>460204</v>
      </c>
      <c r="C119" t="s">
        <v>200</v>
      </c>
      <c r="D119" t="s">
        <v>114</v>
      </c>
      <c r="E119" s="2">
        <v>31.297000000000001</v>
      </c>
      <c r="F119" s="4">
        <v>43891</v>
      </c>
      <c r="H119">
        <f t="shared" ref="H119:H130" si="2">E119*G119</f>
        <v>0</v>
      </c>
    </row>
    <row r="120" spans="1:8" x14ac:dyDescent="0.2">
      <c r="A120" s="2" t="s">
        <v>352</v>
      </c>
      <c r="B120">
        <v>822808</v>
      </c>
      <c r="C120" t="s">
        <v>338</v>
      </c>
      <c r="D120" t="s">
        <v>312</v>
      </c>
      <c r="E120" s="2">
        <v>4.1040000000000001</v>
      </c>
      <c r="F120" s="4">
        <v>43891</v>
      </c>
      <c r="G120">
        <v>1</v>
      </c>
      <c r="H120">
        <f t="shared" si="2"/>
        <v>4.1040000000000001</v>
      </c>
    </row>
    <row r="121" spans="1:8" x14ac:dyDescent="0.2">
      <c r="A121" s="2" t="s">
        <v>353</v>
      </c>
      <c r="B121">
        <v>245243</v>
      </c>
      <c r="C121" t="s">
        <v>354</v>
      </c>
      <c r="D121" t="s">
        <v>312</v>
      </c>
      <c r="E121" s="2">
        <v>3.9590000000000001</v>
      </c>
      <c r="F121" s="4">
        <v>43891</v>
      </c>
      <c r="G121">
        <v>1</v>
      </c>
      <c r="H121">
        <f t="shared" si="2"/>
        <v>3.9590000000000001</v>
      </c>
    </row>
    <row r="122" spans="1:8" x14ac:dyDescent="0.2">
      <c r="A122" s="2" t="s">
        <v>355</v>
      </c>
      <c r="B122">
        <v>940148</v>
      </c>
      <c r="C122" t="s">
        <v>356</v>
      </c>
      <c r="D122" t="s">
        <v>312</v>
      </c>
      <c r="E122" s="2">
        <v>4.859</v>
      </c>
      <c r="F122" s="4">
        <v>43891</v>
      </c>
      <c r="H122">
        <f t="shared" si="2"/>
        <v>0</v>
      </c>
    </row>
    <row r="123" spans="1:8" x14ac:dyDescent="0.2">
      <c r="A123" s="2" t="s">
        <v>6</v>
      </c>
      <c r="B123">
        <v>184366</v>
      </c>
      <c r="C123" t="s">
        <v>357</v>
      </c>
      <c r="D123" t="s">
        <v>358</v>
      </c>
      <c r="E123" s="2">
        <f>12.45/5</f>
        <v>2.4899999999999998</v>
      </c>
      <c r="F123" s="4">
        <v>43891</v>
      </c>
      <c r="G123">
        <v>10</v>
      </c>
      <c r="H123">
        <f t="shared" si="2"/>
        <v>24.9</v>
      </c>
    </row>
    <row r="124" spans="1:8" x14ac:dyDescent="0.2">
      <c r="A124" s="2" t="s">
        <v>9</v>
      </c>
      <c r="B124">
        <v>970640</v>
      </c>
      <c r="C124" t="s">
        <v>359</v>
      </c>
      <c r="D124" t="s">
        <v>358</v>
      </c>
      <c r="E124" s="2">
        <f>58.87/20</f>
        <v>2.9434999999999998</v>
      </c>
      <c r="F124" s="4">
        <v>43891</v>
      </c>
      <c r="G124">
        <v>20</v>
      </c>
      <c r="H124">
        <f t="shared" si="2"/>
        <v>58.87</v>
      </c>
    </row>
    <row r="125" spans="1:8" x14ac:dyDescent="0.2">
      <c r="A125" s="2" t="s">
        <v>360</v>
      </c>
      <c r="B125">
        <v>300358</v>
      </c>
      <c r="C125" t="s">
        <v>338</v>
      </c>
      <c r="D125" t="s">
        <v>88</v>
      </c>
      <c r="E125" s="2">
        <v>0.93300000000000005</v>
      </c>
      <c r="F125" s="4">
        <v>43891</v>
      </c>
      <c r="G125">
        <v>5</v>
      </c>
      <c r="H125">
        <f t="shared" si="2"/>
        <v>4.665</v>
      </c>
    </row>
    <row r="126" spans="1:8" x14ac:dyDescent="0.2">
      <c r="A126" s="2" t="s">
        <v>361</v>
      </c>
      <c r="B126">
        <v>300724</v>
      </c>
      <c r="C126" t="s">
        <v>362</v>
      </c>
      <c r="D126" t="s">
        <v>88</v>
      </c>
      <c r="E126" s="2">
        <v>35.582999999999998</v>
      </c>
      <c r="F126" s="4">
        <v>43891</v>
      </c>
      <c r="G126">
        <f>40*0.05</f>
        <v>2</v>
      </c>
      <c r="H126">
        <f t="shared" si="2"/>
        <v>71.165999999999997</v>
      </c>
    </row>
    <row r="127" spans="1:8" x14ac:dyDescent="0.2">
      <c r="A127" s="2" t="s">
        <v>363</v>
      </c>
      <c r="B127">
        <v>218020</v>
      </c>
      <c r="C127" t="s">
        <v>364</v>
      </c>
      <c r="D127" t="s">
        <v>88</v>
      </c>
      <c r="E127" s="2">
        <v>9.3699999999999992</v>
      </c>
      <c r="F127" s="4">
        <v>44013</v>
      </c>
      <c r="G127">
        <v>4</v>
      </c>
      <c r="H127">
        <f t="shared" si="2"/>
        <v>37.479999999999997</v>
      </c>
    </row>
    <row r="128" spans="1:8" x14ac:dyDescent="0.2">
      <c r="A128" s="2" t="s">
        <v>365</v>
      </c>
      <c r="B128">
        <v>301492</v>
      </c>
      <c r="C128" t="s">
        <v>338</v>
      </c>
      <c r="D128" t="s">
        <v>88</v>
      </c>
      <c r="E128" s="2">
        <v>1.1200000000000001</v>
      </c>
      <c r="F128" s="4">
        <v>43891</v>
      </c>
      <c r="G128">
        <v>1</v>
      </c>
      <c r="H128">
        <f t="shared" si="2"/>
        <v>1.1200000000000001</v>
      </c>
    </row>
    <row r="129" spans="1:8" x14ac:dyDescent="0.2">
      <c r="A129" s="2" t="s">
        <v>366</v>
      </c>
      <c r="B129">
        <v>245550</v>
      </c>
      <c r="C129" t="s">
        <v>178</v>
      </c>
      <c r="D129" t="s">
        <v>88</v>
      </c>
      <c r="E129" s="2">
        <v>8.0250000000000004</v>
      </c>
      <c r="F129" s="4">
        <v>43891</v>
      </c>
      <c r="H129">
        <f t="shared" si="2"/>
        <v>0</v>
      </c>
    </row>
    <row r="130" spans="1:8" x14ac:dyDescent="0.2">
      <c r="A130" s="2" t="s">
        <v>367</v>
      </c>
      <c r="E130" s="2">
        <v>4.4000000000000004</v>
      </c>
      <c r="F130" s="4">
        <v>43891</v>
      </c>
      <c r="H130">
        <f t="shared" si="2"/>
        <v>0</v>
      </c>
    </row>
    <row r="131" spans="1:8" x14ac:dyDescent="0.2">
      <c r="A131" s="5" t="s">
        <v>368</v>
      </c>
      <c r="B131" s="5"/>
      <c r="C131" s="5"/>
      <c r="D131" s="5"/>
      <c r="E131" s="5"/>
      <c r="F131" s="5"/>
      <c r="G131" s="5"/>
      <c r="H131" s="5">
        <f>SUM(H118:H130)</f>
        <v>206.26399999999998</v>
      </c>
    </row>
    <row r="132" spans="1:8" x14ac:dyDescent="0.2">
      <c r="A132" s="11"/>
      <c r="B132" s="11"/>
      <c r="C132" s="11"/>
      <c r="D132" s="11"/>
      <c r="E132" s="11"/>
      <c r="F132" s="11"/>
      <c r="G132" s="11"/>
      <c r="H132" s="11"/>
    </row>
    <row r="133" spans="1:8" x14ac:dyDescent="0.2">
      <c r="A133" s="5" t="s">
        <v>369</v>
      </c>
      <c r="B133" s="5"/>
      <c r="C133" s="5"/>
      <c r="D133" s="5"/>
      <c r="E133" s="5"/>
      <c r="F133" s="5"/>
      <c r="G133" s="5"/>
      <c r="H133" s="5"/>
    </row>
    <row r="134" spans="1:8" x14ac:dyDescent="0.2">
      <c r="A134" s="2" t="s">
        <v>370</v>
      </c>
      <c r="B134">
        <v>300365</v>
      </c>
      <c r="C134" t="s">
        <v>371</v>
      </c>
      <c r="D134" t="s">
        <v>88</v>
      </c>
      <c r="E134" s="17">
        <v>23.11</v>
      </c>
      <c r="F134" s="4">
        <v>43891</v>
      </c>
      <c r="H134">
        <f>E134*G134</f>
        <v>0</v>
      </c>
    </row>
    <row r="135" spans="1:8" x14ac:dyDescent="0.2">
      <c r="A135" s="2" t="s">
        <v>372</v>
      </c>
      <c r="B135">
        <v>227861</v>
      </c>
      <c r="C135" t="s">
        <v>373</v>
      </c>
      <c r="D135" t="s">
        <v>88</v>
      </c>
      <c r="E135" s="17">
        <v>16.7</v>
      </c>
      <c r="F135" s="4">
        <v>43891</v>
      </c>
      <c r="H135">
        <f t="shared" ref="H135:H140" si="3">E135*G135</f>
        <v>0</v>
      </c>
    </row>
    <row r="136" spans="1:8" x14ac:dyDescent="0.2">
      <c r="A136" s="2" t="s">
        <v>374</v>
      </c>
      <c r="B136">
        <v>300482</v>
      </c>
      <c r="C136" t="s">
        <v>371</v>
      </c>
      <c r="D136" t="s">
        <v>88</v>
      </c>
      <c r="E136" s="17">
        <v>14.95</v>
      </c>
      <c r="F136" s="4">
        <v>43891</v>
      </c>
      <c r="G136">
        <v>2</v>
      </c>
      <c r="H136">
        <f t="shared" si="3"/>
        <v>29.9</v>
      </c>
    </row>
    <row r="137" spans="1:8" x14ac:dyDescent="0.2">
      <c r="A137" s="2" t="s">
        <v>375</v>
      </c>
      <c r="B137">
        <v>242308</v>
      </c>
      <c r="C137" t="s">
        <v>376</v>
      </c>
      <c r="D137" t="s">
        <v>88</v>
      </c>
      <c r="E137" s="17">
        <v>29.95</v>
      </c>
      <c r="F137" s="4">
        <v>43891</v>
      </c>
      <c r="G137">
        <v>2</v>
      </c>
      <c r="H137">
        <f t="shared" si="3"/>
        <v>59.9</v>
      </c>
    </row>
    <row r="138" spans="1:8" x14ac:dyDescent="0.2">
      <c r="A138" s="2" t="s">
        <v>377</v>
      </c>
      <c r="B138">
        <v>242079</v>
      </c>
      <c r="C138" t="s">
        <v>378</v>
      </c>
      <c r="D138" t="s">
        <v>88</v>
      </c>
      <c r="E138" s="17">
        <v>11.95</v>
      </c>
      <c r="F138" s="4">
        <v>43983</v>
      </c>
      <c r="G138">
        <v>0</v>
      </c>
      <c r="H138">
        <f t="shared" si="3"/>
        <v>0</v>
      </c>
    </row>
    <row r="139" spans="1:8" x14ac:dyDescent="0.2">
      <c r="A139" s="2" t="s">
        <v>379</v>
      </c>
      <c r="B139">
        <v>244564</v>
      </c>
      <c r="C139" t="s">
        <v>185</v>
      </c>
      <c r="D139" t="s">
        <v>88</v>
      </c>
      <c r="E139" s="17">
        <v>17.771000000000001</v>
      </c>
      <c r="F139" s="4">
        <v>43891</v>
      </c>
      <c r="H139">
        <f t="shared" si="3"/>
        <v>0</v>
      </c>
    </row>
    <row r="140" spans="1:8" x14ac:dyDescent="0.2">
      <c r="A140" s="2" t="s">
        <v>380</v>
      </c>
      <c r="B140">
        <v>233592</v>
      </c>
      <c r="C140" t="s">
        <v>347</v>
      </c>
      <c r="D140" t="s">
        <v>88</v>
      </c>
      <c r="E140" s="17">
        <v>13.414</v>
      </c>
      <c r="F140" s="4">
        <v>43891</v>
      </c>
      <c r="G140">
        <v>3</v>
      </c>
      <c r="H140">
        <f t="shared" si="3"/>
        <v>40.241999999999997</v>
      </c>
    </row>
    <row r="142" spans="1:8" x14ac:dyDescent="0.2">
      <c r="A142" s="5" t="s">
        <v>381</v>
      </c>
      <c r="B142" s="5"/>
      <c r="C142" s="5"/>
      <c r="D142" s="5"/>
      <c r="E142" s="5"/>
      <c r="F142" s="5"/>
      <c r="G142" s="5"/>
      <c r="H142" s="5">
        <f>SUM(H134:H140)</f>
        <v>130.042</v>
      </c>
    </row>
    <row r="145" spans="1:8" x14ac:dyDescent="0.2">
      <c r="A145" s="16"/>
      <c r="B145" s="15"/>
      <c r="C145" s="28" t="s">
        <v>382</v>
      </c>
      <c r="D145" s="28"/>
      <c r="E145" s="28"/>
      <c r="F145" s="28"/>
      <c r="G145" s="28"/>
      <c r="H145" s="16">
        <f>H142+H131+H115+H85+F58</f>
        <v>1287.058</v>
      </c>
    </row>
  </sheetData>
  <sortState xmlns:xlrd2="http://schemas.microsoft.com/office/spreadsheetml/2017/richdata2" ref="A4:H56">
    <sortCondition ref="A4:A56"/>
  </sortState>
  <mergeCells count="1">
    <mergeCell ref="C145:G14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6347C-461F-4A60-A333-7579A1E19496}">
  <dimension ref="A1:H34"/>
  <sheetViews>
    <sheetView topLeftCell="A12" workbookViewId="0">
      <selection activeCell="G31" sqref="G31"/>
    </sheetView>
  </sheetViews>
  <sheetFormatPr defaultRowHeight="15" x14ac:dyDescent="0.2"/>
  <cols>
    <col min="1" max="1" width="21.65625" customWidth="1"/>
    <col min="3" max="3" width="11.97265625" customWidth="1"/>
    <col min="4" max="4" width="6.45703125" customWidth="1"/>
    <col min="7" max="7" width="7.12890625" customWidth="1"/>
    <col min="8" max="8" width="4.3046875" customWidth="1"/>
  </cols>
  <sheetData>
    <row r="1" spans="1:8" x14ac:dyDescent="0.2">
      <c r="A1" t="s">
        <v>81</v>
      </c>
      <c r="B1" t="s">
        <v>82</v>
      </c>
      <c r="C1" t="s">
        <v>167</v>
      </c>
      <c r="D1" t="s">
        <v>83</v>
      </c>
      <c r="E1" t="s">
        <v>84</v>
      </c>
      <c r="F1" t="s">
        <v>85</v>
      </c>
      <c r="G1" t="s">
        <v>86</v>
      </c>
      <c r="H1" t="s">
        <v>71</v>
      </c>
    </row>
    <row r="2" spans="1:8" x14ac:dyDescent="0.2">
      <c r="A2" s="29" t="s">
        <v>383</v>
      </c>
      <c r="B2" s="29"/>
      <c r="C2" s="29"/>
      <c r="D2" s="29"/>
      <c r="E2" s="29"/>
      <c r="F2" s="29"/>
      <c r="G2" s="29"/>
      <c r="H2" s="29"/>
    </row>
    <row r="3" spans="1:8" x14ac:dyDescent="0.2">
      <c r="A3" s="2" t="s">
        <v>384</v>
      </c>
      <c r="B3">
        <v>49823</v>
      </c>
      <c r="C3" t="s">
        <v>385</v>
      </c>
      <c r="D3" t="s">
        <v>386</v>
      </c>
      <c r="E3" s="9">
        <v>4.0060000000000002</v>
      </c>
      <c r="F3" s="4">
        <v>43983</v>
      </c>
      <c r="H3">
        <f>E3*G3</f>
        <v>0</v>
      </c>
    </row>
    <row r="4" spans="1:8" x14ac:dyDescent="0.2">
      <c r="A4" s="2" t="s">
        <v>387</v>
      </c>
      <c r="B4">
        <v>171705</v>
      </c>
      <c r="C4" t="s">
        <v>236</v>
      </c>
      <c r="D4" t="s">
        <v>88</v>
      </c>
      <c r="E4" s="9">
        <v>17.989999999999998</v>
      </c>
      <c r="F4" s="4">
        <v>43983</v>
      </c>
      <c r="G4">
        <v>0.8</v>
      </c>
      <c r="H4">
        <f t="shared" ref="H4:H14" si="0">E4*G4</f>
        <v>14.391999999999999</v>
      </c>
    </row>
    <row r="5" spans="1:8" x14ac:dyDescent="0.2">
      <c r="A5" s="2" t="s">
        <v>388</v>
      </c>
      <c r="B5">
        <v>58532</v>
      </c>
      <c r="C5" t="s">
        <v>389</v>
      </c>
      <c r="D5" t="s">
        <v>390</v>
      </c>
      <c r="E5" s="9">
        <v>15.95</v>
      </c>
      <c r="F5" s="4">
        <v>43983</v>
      </c>
      <c r="H5">
        <f t="shared" si="0"/>
        <v>0</v>
      </c>
    </row>
    <row r="6" spans="1:8" x14ac:dyDescent="0.2">
      <c r="A6" s="2" t="s">
        <v>391</v>
      </c>
      <c r="B6">
        <v>194260</v>
      </c>
      <c r="C6" t="s">
        <v>392</v>
      </c>
      <c r="D6" t="s">
        <v>127</v>
      </c>
      <c r="E6" s="9">
        <v>3.55</v>
      </c>
      <c r="F6" s="4">
        <v>43983</v>
      </c>
      <c r="H6">
        <f t="shared" si="0"/>
        <v>0</v>
      </c>
    </row>
    <row r="7" spans="1:8" x14ac:dyDescent="0.2">
      <c r="A7" s="2" t="s">
        <v>393</v>
      </c>
      <c r="B7">
        <v>170229</v>
      </c>
      <c r="C7" t="s">
        <v>394</v>
      </c>
      <c r="D7" t="s">
        <v>127</v>
      </c>
      <c r="E7" s="9">
        <v>1.6140000000000001</v>
      </c>
      <c r="F7" s="4">
        <v>43983</v>
      </c>
      <c r="H7">
        <f t="shared" si="0"/>
        <v>0</v>
      </c>
    </row>
    <row r="8" spans="1:8" x14ac:dyDescent="0.2">
      <c r="A8" s="2" t="s">
        <v>395</v>
      </c>
      <c r="B8">
        <v>57903</v>
      </c>
      <c r="C8" t="s">
        <v>198</v>
      </c>
      <c r="D8" t="s">
        <v>396</v>
      </c>
      <c r="E8" s="9">
        <v>7.93</v>
      </c>
      <c r="F8" s="4">
        <v>43983</v>
      </c>
      <c r="H8">
        <f t="shared" si="0"/>
        <v>0</v>
      </c>
    </row>
    <row r="9" spans="1:8" x14ac:dyDescent="0.2">
      <c r="A9" s="2" t="s">
        <v>397</v>
      </c>
      <c r="B9">
        <v>137716</v>
      </c>
      <c r="C9" t="s">
        <v>398</v>
      </c>
      <c r="D9" t="s">
        <v>396</v>
      </c>
      <c r="E9" s="9">
        <v>19.681000000000001</v>
      </c>
      <c r="F9" s="4">
        <v>43983</v>
      </c>
      <c r="H9">
        <f t="shared" si="0"/>
        <v>0</v>
      </c>
    </row>
    <row r="10" spans="1:8" x14ac:dyDescent="0.2">
      <c r="A10" s="2" t="s">
        <v>399</v>
      </c>
      <c r="B10">
        <v>99568</v>
      </c>
      <c r="C10" t="s">
        <v>400</v>
      </c>
      <c r="D10" t="s">
        <v>114</v>
      </c>
      <c r="E10" s="9">
        <v>7.27</v>
      </c>
      <c r="F10" s="4">
        <v>43983</v>
      </c>
      <c r="H10">
        <f t="shared" si="0"/>
        <v>0</v>
      </c>
    </row>
    <row r="11" spans="1:8" x14ac:dyDescent="0.2">
      <c r="A11" s="2" t="s">
        <v>401</v>
      </c>
      <c r="B11">
        <v>11940</v>
      </c>
      <c r="C11" t="s">
        <v>347</v>
      </c>
      <c r="D11" t="s">
        <v>114</v>
      </c>
      <c r="E11" s="9">
        <v>21.709</v>
      </c>
      <c r="F11" s="4">
        <v>43983</v>
      </c>
      <c r="H11">
        <f t="shared" si="0"/>
        <v>0</v>
      </c>
    </row>
    <row r="12" spans="1:8" x14ac:dyDescent="0.2">
      <c r="A12" s="10" t="s">
        <v>402</v>
      </c>
      <c r="B12">
        <v>58585</v>
      </c>
      <c r="C12" t="s">
        <v>198</v>
      </c>
      <c r="D12" t="s">
        <v>114</v>
      </c>
      <c r="E12" s="12">
        <v>17.260000000000002</v>
      </c>
      <c r="F12" s="4">
        <v>43983</v>
      </c>
      <c r="H12">
        <f t="shared" si="0"/>
        <v>0</v>
      </c>
    </row>
    <row r="13" spans="1:8" x14ac:dyDescent="0.2">
      <c r="A13" s="2" t="s">
        <v>403</v>
      </c>
      <c r="B13">
        <v>183788</v>
      </c>
      <c r="C13" t="s">
        <v>404</v>
      </c>
      <c r="D13" t="s">
        <v>88</v>
      </c>
      <c r="E13" s="9">
        <v>20.837</v>
      </c>
      <c r="F13" s="4">
        <v>43983</v>
      </c>
      <c r="H13">
        <f t="shared" si="0"/>
        <v>0</v>
      </c>
    </row>
    <row r="14" spans="1:8" x14ac:dyDescent="0.2">
      <c r="A14" s="2" t="s">
        <v>405</v>
      </c>
      <c r="B14">
        <v>44364</v>
      </c>
      <c r="C14" t="s">
        <v>173</v>
      </c>
      <c r="D14" t="s">
        <v>312</v>
      </c>
      <c r="E14" s="9">
        <v>10.871</v>
      </c>
      <c r="F14" s="4">
        <v>43983</v>
      </c>
      <c r="H14">
        <f t="shared" si="0"/>
        <v>0</v>
      </c>
    </row>
    <row r="15" spans="1:8" x14ac:dyDescent="0.2">
      <c r="A15" s="2"/>
      <c r="E15" s="9"/>
    </row>
    <row r="16" spans="1:8" x14ac:dyDescent="0.2">
      <c r="A16" s="30" t="s">
        <v>406</v>
      </c>
      <c r="B16" s="31"/>
      <c r="C16" s="31"/>
      <c r="D16" s="31"/>
      <c r="E16" s="31"/>
      <c r="F16" s="31"/>
      <c r="G16" s="31"/>
      <c r="H16" s="31"/>
    </row>
    <row r="17" spans="1:8" x14ac:dyDescent="0.2">
      <c r="A17" s="2" t="s">
        <v>407</v>
      </c>
      <c r="B17">
        <v>155637</v>
      </c>
      <c r="C17" t="s">
        <v>408</v>
      </c>
      <c r="D17" t="s">
        <v>88</v>
      </c>
      <c r="E17" s="9">
        <v>7.34</v>
      </c>
      <c r="F17" s="4">
        <v>43983</v>
      </c>
      <c r="H17">
        <f t="shared" ref="H17:H25" si="1">E17*G17</f>
        <v>0</v>
      </c>
    </row>
    <row r="18" spans="1:8" x14ac:dyDescent="0.2">
      <c r="A18" s="2" t="s">
        <v>409</v>
      </c>
      <c r="B18">
        <v>6472</v>
      </c>
      <c r="C18" t="s">
        <v>410</v>
      </c>
      <c r="D18" t="s">
        <v>88</v>
      </c>
      <c r="E18" s="9">
        <v>8.2200000000000006</v>
      </c>
      <c r="F18" s="4">
        <v>43983</v>
      </c>
      <c r="H18">
        <f t="shared" si="1"/>
        <v>0</v>
      </c>
    </row>
    <row r="19" spans="1:8" x14ac:dyDescent="0.2">
      <c r="A19" s="2" t="s">
        <v>411</v>
      </c>
      <c r="B19">
        <v>37499</v>
      </c>
      <c r="C19" t="s">
        <v>412</v>
      </c>
      <c r="D19" t="s">
        <v>88</v>
      </c>
      <c r="E19" s="9">
        <v>11.907</v>
      </c>
      <c r="F19" s="4">
        <v>43983</v>
      </c>
      <c r="G19">
        <v>1</v>
      </c>
      <c r="H19">
        <f t="shared" si="1"/>
        <v>11.907</v>
      </c>
    </row>
    <row r="20" spans="1:8" x14ac:dyDescent="0.2">
      <c r="A20" s="2" t="s">
        <v>413</v>
      </c>
      <c r="B20">
        <v>185057</v>
      </c>
      <c r="C20" t="s">
        <v>414</v>
      </c>
      <c r="D20" t="s">
        <v>88</v>
      </c>
      <c r="E20" s="9">
        <v>19.163</v>
      </c>
      <c r="F20" s="4">
        <v>43983</v>
      </c>
      <c r="H20">
        <f t="shared" si="1"/>
        <v>0</v>
      </c>
    </row>
    <row r="21" spans="1:8" x14ac:dyDescent="0.2">
      <c r="A21" s="2" t="s">
        <v>14</v>
      </c>
      <c r="B21">
        <v>196271</v>
      </c>
      <c r="C21" t="s">
        <v>415</v>
      </c>
      <c r="D21" t="s">
        <v>88</v>
      </c>
      <c r="E21" s="9">
        <v>19.3</v>
      </c>
      <c r="F21" s="4">
        <v>43983</v>
      </c>
      <c r="H21">
        <f t="shared" si="1"/>
        <v>0</v>
      </c>
    </row>
    <row r="22" spans="1:8" x14ac:dyDescent="0.2">
      <c r="A22" s="2" t="s">
        <v>416</v>
      </c>
      <c r="B22">
        <v>98721</v>
      </c>
      <c r="C22" t="s">
        <v>273</v>
      </c>
      <c r="D22" t="s">
        <v>88</v>
      </c>
      <c r="E22" s="9">
        <v>6.55</v>
      </c>
      <c r="F22" s="4">
        <v>43983</v>
      </c>
      <c r="H22">
        <f t="shared" si="1"/>
        <v>0</v>
      </c>
    </row>
    <row r="23" spans="1:8" x14ac:dyDescent="0.2">
      <c r="A23" s="2" t="s">
        <v>417</v>
      </c>
      <c r="B23">
        <v>192139</v>
      </c>
      <c r="C23" t="s">
        <v>418</v>
      </c>
      <c r="D23" t="s">
        <v>88</v>
      </c>
      <c r="E23" s="9">
        <v>16.95</v>
      </c>
      <c r="F23" s="4">
        <v>43983</v>
      </c>
      <c r="H23">
        <f t="shared" si="1"/>
        <v>0</v>
      </c>
    </row>
    <row r="24" spans="1:8" x14ac:dyDescent="0.2">
      <c r="A24" s="2" t="s">
        <v>419</v>
      </c>
      <c r="B24">
        <v>2210</v>
      </c>
      <c r="C24" t="s">
        <v>236</v>
      </c>
      <c r="D24" t="s">
        <v>88</v>
      </c>
      <c r="E24" s="9">
        <v>5.0720000000000001</v>
      </c>
      <c r="F24" s="4">
        <v>43983</v>
      </c>
      <c r="H24">
        <f t="shared" si="1"/>
        <v>0</v>
      </c>
    </row>
    <row r="25" spans="1:8" x14ac:dyDescent="0.2">
      <c r="A25" s="2" t="s">
        <v>420</v>
      </c>
      <c r="B25">
        <v>36647</v>
      </c>
      <c r="C25" t="s">
        <v>421</v>
      </c>
      <c r="D25" t="s">
        <v>88</v>
      </c>
      <c r="E25" s="9">
        <v>30.58</v>
      </c>
      <c r="F25" s="4">
        <v>43983</v>
      </c>
      <c r="G25">
        <v>0.26</v>
      </c>
      <c r="H25">
        <f t="shared" si="1"/>
        <v>7.9508000000000001</v>
      </c>
    </row>
    <row r="26" spans="1:8" x14ac:dyDescent="0.2">
      <c r="A26" s="30" t="s">
        <v>422</v>
      </c>
      <c r="B26" s="31"/>
      <c r="C26" s="31"/>
      <c r="D26" s="31"/>
      <c r="E26" s="31"/>
      <c r="F26" s="31"/>
      <c r="G26" s="31"/>
      <c r="H26" s="31"/>
    </row>
    <row r="27" spans="1:8" x14ac:dyDescent="0.2">
      <c r="A27" s="2" t="s">
        <v>26</v>
      </c>
      <c r="B27">
        <v>7235</v>
      </c>
      <c r="C27" t="s">
        <v>423</v>
      </c>
      <c r="D27" t="s">
        <v>88</v>
      </c>
      <c r="E27" s="2">
        <f>(17/450)*1000</f>
        <v>37.777777777777779</v>
      </c>
      <c r="F27" s="4">
        <v>43983</v>
      </c>
      <c r="H27">
        <f t="shared" ref="H27" si="2">E27*G27</f>
        <v>0</v>
      </c>
    </row>
    <row r="29" spans="1:8" x14ac:dyDescent="0.2">
      <c r="A29" s="29" t="s">
        <v>424</v>
      </c>
      <c r="B29" s="29"/>
      <c r="C29" s="29"/>
      <c r="D29" s="29"/>
      <c r="E29" s="29"/>
      <c r="F29" s="29"/>
      <c r="G29" s="29"/>
      <c r="H29" s="29"/>
    </row>
    <row r="30" spans="1:8" x14ac:dyDescent="0.2">
      <c r="A30" t="s">
        <v>32</v>
      </c>
      <c r="B30">
        <v>98484</v>
      </c>
      <c r="C30" t="s">
        <v>425</v>
      </c>
      <c r="D30" t="s">
        <v>426</v>
      </c>
      <c r="E30">
        <v>13.55</v>
      </c>
      <c r="F30" s="4">
        <v>43983</v>
      </c>
      <c r="G30">
        <f>1/6</f>
        <v>0.16666666666666666</v>
      </c>
      <c r="H30">
        <f t="shared" ref="H30:H31" si="3">E30*G30</f>
        <v>2.2583333333333333</v>
      </c>
    </row>
    <row r="31" spans="1:8" x14ac:dyDescent="0.2">
      <c r="A31" t="s">
        <v>427</v>
      </c>
      <c r="B31">
        <v>24728</v>
      </c>
      <c r="C31" t="s">
        <v>428</v>
      </c>
      <c r="D31" t="s">
        <v>127</v>
      </c>
      <c r="E31">
        <v>0.25</v>
      </c>
      <c r="F31" s="4">
        <v>43983</v>
      </c>
      <c r="H31">
        <f t="shared" si="3"/>
        <v>0</v>
      </c>
    </row>
    <row r="34" spans="1:8" x14ac:dyDescent="0.2">
      <c r="A34" s="16"/>
      <c r="B34" s="16"/>
      <c r="C34" s="27" t="s">
        <v>429</v>
      </c>
      <c r="D34" s="27"/>
      <c r="E34" s="27"/>
      <c r="F34" s="27"/>
      <c r="G34" s="27"/>
      <c r="H34" s="16">
        <f>SUM(H3:H31)</f>
        <v>36.508133333333333</v>
      </c>
    </row>
  </sheetData>
  <mergeCells count="5">
    <mergeCell ref="A2:H2"/>
    <mergeCell ref="A16:H16"/>
    <mergeCell ref="A26:H26"/>
    <mergeCell ref="A29:H29"/>
    <mergeCell ref="C34:G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E7CCC-6F23-452B-A260-CEA475C3BAFB}">
  <dimension ref="A1:H86"/>
  <sheetViews>
    <sheetView topLeftCell="A55" workbookViewId="0">
      <selection activeCell="I67" sqref="I67"/>
    </sheetView>
  </sheetViews>
  <sheetFormatPr defaultRowHeight="15" x14ac:dyDescent="0.2"/>
  <cols>
    <col min="1" max="1" width="29.45703125" customWidth="1"/>
    <col min="3" max="3" width="8.47265625" customWidth="1"/>
    <col min="7" max="7" width="4.5703125" customWidth="1"/>
    <col min="8" max="8" width="5.91796875" customWidth="1"/>
  </cols>
  <sheetData>
    <row r="1" spans="1:8" x14ac:dyDescent="0.2">
      <c r="A1" t="s">
        <v>81</v>
      </c>
      <c r="B1" t="s">
        <v>82</v>
      </c>
      <c r="C1" t="s">
        <v>167</v>
      </c>
      <c r="D1" t="s">
        <v>83</v>
      </c>
      <c r="E1" t="s">
        <v>84</v>
      </c>
      <c r="F1" t="s">
        <v>85</v>
      </c>
      <c r="G1" t="s">
        <v>86</v>
      </c>
      <c r="H1" t="s">
        <v>71</v>
      </c>
    </row>
    <row r="2" spans="1:8" x14ac:dyDescent="0.2">
      <c r="A2" s="2" t="s">
        <v>430</v>
      </c>
      <c r="B2">
        <v>5057</v>
      </c>
      <c r="C2">
        <v>1</v>
      </c>
      <c r="D2" t="s">
        <v>88</v>
      </c>
      <c r="E2" s="9">
        <v>4.25</v>
      </c>
      <c r="F2" s="4">
        <v>43983</v>
      </c>
      <c r="H2">
        <f>E2*G2</f>
        <v>0</v>
      </c>
    </row>
    <row r="3" spans="1:8" x14ac:dyDescent="0.2">
      <c r="A3" s="2" t="s">
        <v>431</v>
      </c>
      <c r="B3">
        <v>40838</v>
      </c>
      <c r="C3" s="8" t="s">
        <v>432</v>
      </c>
      <c r="D3" t="s">
        <v>181</v>
      </c>
      <c r="E3" s="9">
        <v>1.59</v>
      </c>
      <c r="F3" s="4">
        <v>43983</v>
      </c>
      <c r="H3">
        <f>E3*G3</f>
        <v>0</v>
      </c>
    </row>
    <row r="4" spans="1:8" x14ac:dyDescent="0.2">
      <c r="A4" s="2" t="s">
        <v>433</v>
      </c>
      <c r="B4">
        <v>203522</v>
      </c>
      <c r="C4" t="s">
        <v>244</v>
      </c>
      <c r="D4" t="s">
        <v>434</v>
      </c>
      <c r="E4" s="9">
        <v>17.619</v>
      </c>
      <c r="F4" s="4">
        <v>43983</v>
      </c>
      <c r="H4">
        <f>E4*G4</f>
        <v>0</v>
      </c>
    </row>
    <row r="5" spans="1:8" x14ac:dyDescent="0.2">
      <c r="A5" s="2" t="s">
        <v>435</v>
      </c>
      <c r="B5">
        <v>203486</v>
      </c>
      <c r="C5" t="s">
        <v>392</v>
      </c>
      <c r="D5" t="s">
        <v>88</v>
      </c>
      <c r="E5" s="9">
        <v>7.7</v>
      </c>
      <c r="F5" s="4">
        <v>43983</v>
      </c>
      <c r="H5">
        <f>E5*G5</f>
        <v>0</v>
      </c>
    </row>
    <row r="6" spans="1:8" x14ac:dyDescent="0.2">
      <c r="A6" s="2" t="s">
        <v>436</v>
      </c>
      <c r="B6">
        <v>67839</v>
      </c>
      <c r="C6" t="s">
        <v>173</v>
      </c>
      <c r="D6" t="s">
        <v>88</v>
      </c>
      <c r="E6" s="9">
        <v>6.82</v>
      </c>
      <c r="F6" s="4">
        <v>43983</v>
      </c>
      <c r="G6">
        <v>1</v>
      </c>
      <c r="H6">
        <f>E6*G6</f>
        <v>6.82</v>
      </c>
    </row>
    <row r="7" spans="1:8" x14ac:dyDescent="0.2">
      <c r="A7" s="2" t="s">
        <v>437</v>
      </c>
      <c r="B7">
        <v>180932</v>
      </c>
      <c r="C7" t="s">
        <v>438</v>
      </c>
      <c r="D7" t="s">
        <v>439</v>
      </c>
      <c r="E7" s="9">
        <v>22.4</v>
      </c>
      <c r="F7" s="4">
        <v>43983</v>
      </c>
      <c r="H7">
        <f>E7*G7</f>
        <v>0</v>
      </c>
    </row>
    <row r="8" spans="1:8" x14ac:dyDescent="0.2">
      <c r="A8" s="2" t="s">
        <v>440</v>
      </c>
      <c r="B8">
        <v>62423</v>
      </c>
      <c r="C8" t="s">
        <v>200</v>
      </c>
      <c r="D8" t="s">
        <v>88</v>
      </c>
      <c r="E8" s="9">
        <v>5.34</v>
      </c>
      <c r="F8" s="4">
        <v>43983</v>
      </c>
      <c r="G8">
        <v>0.2</v>
      </c>
      <c r="H8">
        <f>E8*G8</f>
        <v>1.0680000000000001</v>
      </c>
    </row>
    <row r="9" spans="1:8" x14ac:dyDescent="0.2">
      <c r="A9" s="2" t="s">
        <v>441</v>
      </c>
      <c r="B9">
        <v>98768</v>
      </c>
      <c r="C9">
        <v>44</v>
      </c>
      <c r="D9" t="s">
        <v>181</v>
      </c>
      <c r="E9" s="9">
        <v>3.2</v>
      </c>
      <c r="F9" s="4">
        <v>43983</v>
      </c>
      <c r="H9">
        <f>E9*G9</f>
        <v>0</v>
      </c>
    </row>
    <row r="10" spans="1:8" x14ac:dyDescent="0.2">
      <c r="A10" s="2" t="s">
        <v>442</v>
      </c>
      <c r="B10">
        <v>203473</v>
      </c>
      <c r="C10" t="s">
        <v>443</v>
      </c>
      <c r="D10" t="s">
        <v>189</v>
      </c>
      <c r="E10" s="9">
        <v>11.631</v>
      </c>
      <c r="F10" s="4">
        <v>44013</v>
      </c>
      <c r="G10">
        <v>1</v>
      </c>
      <c r="H10">
        <f>E10*G10</f>
        <v>11.631</v>
      </c>
    </row>
    <row r="11" spans="1:8" x14ac:dyDescent="0.2">
      <c r="A11" s="2" t="s">
        <v>444</v>
      </c>
      <c r="B11">
        <v>43484</v>
      </c>
      <c r="C11" t="s">
        <v>269</v>
      </c>
      <c r="D11" t="s">
        <v>88</v>
      </c>
      <c r="E11" s="9">
        <v>2.12</v>
      </c>
      <c r="F11" s="4">
        <v>43983</v>
      </c>
      <c r="H11">
        <f>E11*G11</f>
        <v>0</v>
      </c>
    </row>
    <row r="12" spans="1:8" x14ac:dyDescent="0.2">
      <c r="A12" s="2" t="s">
        <v>445</v>
      </c>
      <c r="B12">
        <v>44118</v>
      </c>
      <c r="C12" t="s">
        <v>421</v>
      </c>
      <c r="D12" t="s">
        <v>446</v>
      </c>
      <c r="E12" s="9">
        <v>3.56</v>
      </c>
      <c r="F12" s="4">
        <v>43983</v>
      </c>
      <c r="H12">
        <f>E12*G12</f>
        <v>0</v>
      </c>
    </row>
    <row r="13" spans="1:8" x14ac:dyDescent="0.2">
      <c r="A13" s="2" t="s">
        <v>39</v>
      </c>
      <c r="B13">
        <v>52987</v>
      </c>
      <c r="C13" t="s">
        <v>447</v>
      </c>
      <c r="D13" t="s">
        <v>448</v>
      </c>
      <c r="E13" s="9">
        <v>5.0410000000000004</v>
      </c>
      <c r="F13" s="4">
        <v>43983</v>
      </c>
      <c r="G13">
        <v>1</v>
      </c>
      <c r="H13">
        <f>E13*G13</f>
        <v>5.0410000000000004</v>
      </c>
    </row>
    <row r="14" spans="1:8" x14ac:dyDescent="0.2">
      <c r="A14" s="2" t="s">
        <v>449</v>
      </c>
      <c r="B14">
        <v>1878</v>
      </c>
      <c r="C14" s="8" t="s">
        <v>450</v>
      </c>
      <c r="D14" t="s">
        <v>181</v>
      </c>
      <c r="E14" s="9">
        <v>5.99</v>
      </c>
      <c r="F14" s="4">
        <v>43983</v>
      </c>
      <c r="H14">
        <f>E14*G14</f>
        <v>0</v>
      </c>
    </row>
    <row r="15" spans="1:8" x14ac:dyDescent="0.2">
      <c r="A15" s="2" t="s">
        <v>451</v>
      </c>
      <c r="B15">
        <v>8346</v>
      </c>
      <c r="C15" t="s">
        <v>452</v>
      </c>
      <c r="D15" t="s">
        <v>453</v>
      </c>
      <c r="E15" s="9">
        <v>5.93</v>
      </c>
      <c r="F15" s="4">
        <v>43983</v>
      </c>
      <c r="G15">
        <v>2</v>
      </c>
      <c r="H15">
        <f>E15*G15</f>
        <v>11.86</v>
      </c>
    </row>
    <row r="16" spans="1:8" x14ac:dyDescent="0.2">
      <c r="A16" s="2" t="s">
        <v>454</v>
      </c>
      <c r="B16">
        <v>51337</v>
      </c>
      <c r="C16" t="s">
        <v>279</v>
      </c>
      <c r="D16" t="s">
        <v>88</v>
      </c>
      <c r="E16" s="9">
        <f>27.66/5</f>
        <v>5.532</v>
      </c>
      <c r="F16" s="4">
        <v>43983</v>
      </c>
      <c r="G16">
        <v>5</v>
      </c>
      <c r="H16">
        <f>E16*G16</f>
        <v>27.66</v>
      </c>
    </row>
    <row r="17" spans="1:8" x14ac:dyDescent="0.2">
      <c r="A17" s="2" t="s">
        <v>455</v>
      </c>
      <c r="B17">
        <v>10310</v>
      </c>
      <c r="C17" t="s">
        <v>456</v>
      </c>
      <c r="D17" t="s">
        <v>181</v>
      </c>
      <c r="E17" s="9">
        <v>6.64</v>
      </c>
      <c r="F17" s="4">
        <v>43983</v>
      </c>
      <c r="G17">
        <v>0.2</v>
      </c>
      <c r="H17">
        <f>E17*G17</f>
        <v>1.3280000000000001</v>
      </c>
    </row>
    <row r="18" spans="1:8" x14ac:dyDescent="0.2">
      <c r="A18" s="2" t="s">
        <v>457</v>
      </c>
      <c r="B18">
        <v>203541</v>
      </c>
      <c r="C18" t="s">
        <v>392</v>
      </c>
      <c r="D18" t="s">
        <v>189</v>
      </c>
      <c r="E18" s="9">
        <v>3.3</v>
      </c>
      <c r="F18" s="4">
        <v>43983</v>
      </c>
      <c r="H18">
        <f>E18*G18</f>
        <v>0</v>
      </c>
    </row>
    <row r="19" spans="1:8" x14ac:dyDescent="0.2">
      <c r="A19" s="2" t="s">
        <v>458</v>
      </c>
      <c r="B19">
        <v>203542</v>
      </c>
      <c r="C19" t="s">
        <v>392</v>
      </c>
      <c r="D19" t="s">
        <v>189</v>
      </c>
      <c r="E19" s="9">
        <v>2.96</v>
      </c>
      <c r="F19" s="4">
        <v>43983</v>
      </c>
      <c r="H19">
        <f>E19*G19</f>
        <v>0</v>
      </c>
    </row>
    <row r="20" spans="1:8" x14ac:dyDescent="0.2">
      <c r="A20" s="2" t="s">
        <v>459</v>
      </c>
      <c r="B20">
        <v>203543</v>
      </c>
      <c r="C20" t="s">
        <v>392</v>
      </c>
      <c r="D20" t="s">
        <v>189</v>
      </c>
      <c r="E20" s="9">
        <v>6.6</v>
      </c>
      <c r="F20" s="4">
        <v>43983</v>
      </c>
      <c r="H20">
        <f>E20*G20</f>
        <v>0</v>
      </c>
    </row>
    <row r="21" spans="1:8" x14ac:dyDescent="0.2">
      <c r="A21" s="2" t="s">
        <v>460</v>
      </c>
      <c r="B21">
        <v>43480</v>
      </c>
      <c r="C21" t="s">
        <v>461</v>
      </c>
      <c r="D21" t="s">
        <v>88</v>
      </c>
      <c r="E21" s="9">
        <f>20.481/5</f>
        <v>4.0962000000000005</v>
      </c>
      <c r="F21" s="4">
        <v>43983</v>
      </c>
      <c r="G21">
        <v>2</v>
      </c>
      <c r="H21">
        <f>E21*G21</f>
        <v>8.192400000000001</v>
      </c>
    </row>
    <row r="22" spans="1:8" x14ac:dyDescent="0.2">
      <c r="A22" s="2" t="s">
        <v>462</v>
      </c>
      <c r="B22">
        <v>44165</v>
      </c>
      <c r="C22" t="s">
        <v>463</v>
      </c>
      <c r="D22" t="s">
        <v>181</v>
      </c>
      <c r="E22" s="9">
        <v>3.6030000000000002</v>
      </c>
      <c r="F22" s="4">
        <v>43983</v>
      </c>
      <c r="G22">
        <v>0.1</v>
      </c>
      <c r="H22">
        <f>E22*G22</f>
        <v>0.36030000000000006</v>
      </c>
    </row>
    <row r="23" spans="1:8" x14ac:dyDescent="0.2">
      <c r="A23" s="2" t="s">
        <v>464</v>
      </c>
      <c r="B23">
        <v>203526</v>
      </c>
      <c r="C23" t="s">
        <v>443</v>
      </c>
      <c r="D23" t="s">
        <v>189</v>
      </c>
      <c r="E23" s="9">
        <v>6.48</v>
      </c>
      <c r="F23" s="4">
        <v>43983</v>
      </c>
      <c r="H23">
        <f>E23*G23</f>
        <v>0</v>
      </c>
    </row>
    <row r="24" spans="1:8" x14ac:dyDescent="0.2">
      <c r="A24" s="2" t="s">
        <v>465</v>
      </c>
      <c r="B24">
        <v>46920</v>
      </c>
      <c r="C24" t="s">
        <v>173</v>
      </c>
      <c r="D24" t="s">
        <v>189</v>
      </c>
      <c r="E24" s="9">
        <v>4.2569999999999997</v>
      </c>
      <c r="F24" s="4">
        <v>43983</v>
      </c>
      <c r="H24">
        <f>E24*G24</f>
        <v>0</v>
      </c>
    </row>
    <row r="25" spans="1:8" x14ac:dyDescent="0.2">
      <c r="A25" s="2" t="s">
        <v>62</v>
      </c>
      <c r="B25">
        <v>94131</v>
      </c>
      <c r="C25" t="s">
        <v>173</v>
      </c>
      <c r="D25" t="s">
        <v>189</v>
      </c>
      <c r="E25" s="9">
        <v>5.9850000000000003</v>
      </c>
      <c r="F25" s="4">
        <v>43983</v>
      </c>
      <c r="G25">
        <v>2</v>
      </c>
      <c r="H25">
        <f>E25*G25</f>
        <v>11.97</v>
      </c>
    </row>
    <row r="26" spans="1:8" x14ac:dyDescent="0.2">
      <c r="A26" s="2" t="s">
        <v>466</v>
      </c>
      <c r="B26">
        <v>205146</v>
      </c>
      <c r="C26" t="s">
        <v>173</v>
      </c>
      <c r="D26" t="s">
        <v>189</v>
      </c>
      <c r="E26" s="9">
        <v>5.7</v>
      </c>
      <c r="F26" s="4">
        <v>44013</v>
      </c>
      <c r="G26">
        <v>0.1</v>
      </c>
      <c r="H26">
        <f>E26*G26</f>
        <v>0.57000000000000006</v>
      </c>
    </row>
    <row r="27" spans="1:8" x14ac:dyDescent="0.2">
      <c r="A27" s="2" t="s">
        <v>467</v>
      </c>
      <c r="B27">
        <v>186551</v>
      </c>
      <c r="C27" t="s">
        <v>468</v>
      </c>
      <c r="D27" t="s">
        <v>88</v>
      </c>
      <c r="E27" s="9">
        <v>14.9</v>
      </c>
      <c r="F27" s="4">
        <v>43983</v>
      </c>
      <c r="H27">
        <f>E27*G27</f>
        <v>0</v>
      </c>
    </row>
    <row r="28" spans="1:8" x14ac:dyDescent="0.2">
      <c r="A28" s="2" t="s">
        <v>12</v>
      </c>
      <c r="B28">
        <v>25150</v>
      </c>
      <c r="C28" t="s">
        <v>269</v>
      </c>
      <c r="D28" t="s">
        <v>88</v>
      </c>
      <c r="E28" s="9">
        <v>0.27900000000000003</v>
      </c>
      <c r="F28" s="4">
        <v>43983</v>
      </c>
      <c r="G28">
        <v>8</v>
      </c>
      <c r="H28">
        <f>E28*G28</f>
        <v>2.2320000000000002</v>
      </c>
    </row>
    <row r="29" spans="1:8" x14ac:dyDescent="0.2">
      <c r="A29" s="2" t="s">
        <v>469</v>
      </c>
      <c r="B29">
        <v>173471</v>
      </c>
      <c r="C29" t="s">
        <v>470</v>
      </c>
      <c r="D29" t="s">
        <v>471</v>
      </c>
      <c r="E29" s="9">
        <v>14.9</v>
      </c>
      <c r="F29" s="4">
        <v>43983</v>
      </c>
      <c r="H29">
        <f>E29*G29</f>
        <v>0</v>
      </c>
    </row>
    <row r="30" spans="1:8" x14ac:dyDescent="0.2">
      <c r="A30" s="2" t="s">
        <v>472</v>
      </c>
      <c r="B30">
        <v>156887</v>
      </c>
      <c r="C30" t="s">
        <v>473</v>
      </c>
      <c r="D30" t="s">
        <v>474</v>
      </c>
      <c r="E30" s="9">
        <v>27.6</v>
      </c>
      <c r="F30" s="4">
        <v>43983</v>
      </c>
      <c r="H30">
        <f>E30*G30</f>
        <v>0</v>
      </c>
    </row>
    <row r="31" spans="1:8" x14ac:dyDescent="0.2">
      <c r="A31" s="2" t="s">
        <v>475</v>
      </c>
      <c r="E31" s="9">
        <v>17.8</v>
      </c>
      <c r="F31" s="4">
        <v>43983</v>
      </c>
      <c r="G31">
        <v>1</v>
      </c>
      <c r="H31">
        <f>E31*G31</f>
        <v>17.8</v>
      </c>
    </row>
    <row r="32" spans="1:8" x14ac:dyDescent="0.2">
      <c r="A32" s="2" t="s">
        <v>476</v>
      </c>
      <c r="B32">
        <v>26618</v>
      </c>
      <c r="C32" t="s">
        <v>477</v>
      </c>
      <c r="D32" t="s">
        <v>174</v>
      </c>
      <c r="E32" s="9">
        <v>9.0730000000000004</v>
      </c>
      <c r="F32" s="4">
        <v>43983</v>
      </c>
      <c r="G32">
        <v>0.5</v>
      </c>
      <c r="H32">
        <f>E32*G32</f>
        <v>4.5365000000000002</v>
      </c>
    </row>
    <row r="33" spans="1:8" x14ac:dyDescent="0.2">
      <c r="A33" s="2" t="s">
        <v>478</v>
      </c>
      <c r="B33">
        <v>89825</v>
      </c>
      <c r="C33" t="s">
        <v>176</v>
      </c>
      <c r="D33" t="s">
        <v>281</v>
      </c>
      <c r="E33" s="9">
        <v>4.6500000000000004</v>
      </c>
      <c r="F33" s="4">
        <v>43983</v>
      </c>
      <c r="H33">
        <f>E33*G33</f>
        <v>0</v>
      </c>
    </row>
    <row r="34" spans="1:8" x14ac:dyDescent="0.2">
      <c r="A34" s="2" t="s">
        <v>353</v>
      </c>
      <c r="B34">
        <v>25653</v>
      </c>
      <c r="C34" t="s">
        <v>322</v>
      </c>
      <c r="D34" t="s">
        <v>181</v>
      </c>
      <c r="E34" s="9">
        <v>14.51</v>
      </c>
      <c r="F34" s="4">
        <v>43983</v>
      </c>
      <c r="H34">
        <f>E34*G34</f>
        <v>0</v>
      </c>
    </row>
    <row r="35" spans="1:8" x14ac:dyDescent="0.2">
      <c r="A35" s="2" t="s">
        <v>479</v>
      </c>
      <c r="B35">
        <v>169053</v>
      </c>
      <c r="C35" t="s">
        <v>480</v>
      </c>
      <c r="D35" t="s">
        <v>189</v>
      </c>
      <c r="E35" s="9">
        <v>2.2103999999999999</v>
      </c>
      <c r="F35" s="4">
        <v>43983</v>
      </c>
      <c r="G35">
        <v>4.5</v>
      </c>
      <c r="H35">
        <f>E35*G35</f>
        <v>9.9467999999999996</v>
      </c>
    </row>
    <row r="36" spans="1:8" x14ac:dyDescent="0.2">
      <c r="A36" s="2" t="s">
        <v>481</v>
      </c>
      <c r="B36">
        <v>49610</v>
      </c>
      <c r="C36" t="s">
        <v>273</v>
      </c>
      <c r="D36" t="s">
        <v>189</v>
      </c>
      <c r="E36" s="9">
        <v>7.3</v>
      </c>
      <c r="F36" s="4">
        <v>43983</v>
      </c>
      <c r="H36">
        <f>E36*G36</f>
        <v>0</v>
      </c>
    </row>
    <row r="37" spans="1:8" ht="18" customHeight="1" x14ac:dyDescent="0.2">
      <c r="A37" s="2" t="s">
        <v>482</v>
      </c>
      <c r="B37">
        <v>43359</v>
      </c>
      <c r="C37" t="s">
        <v>279</v>
      </c>
      <c r="D37" t="s">
        <v>88</v>
      </c>
      <c r="E37" s="9">
        <v>9.8000000000000007</v>
      </c>
      <c r="F37" s="4">
        <v>43983</v>
      </c>
      <c r="G37">
        <v>5</v>
      </c>
      <c r="H37">
        <f>E37*G37</f>
        <v>49</v>
      </c>
    </row>
    <row r="38" spans="1:8" ht="18" customHeight="1" x14ac:dyDescent="0.2">
      <c r="A38" s="2" t="s">
        <v>483</v>
      </c>
      <c r="B38">
        <v>203524</v>
      </c>
      <c r="C38" t="s">
        <v>484</v>
      </c>
      <c r="D38" t="s">
        <v>88</v>
      </c>
      <c r="E38" s="9">
        <v>7.8</v>
      </c>
      <c r="F38" s="4">
        <v>43983</v>
      </c>
      <c r="H38">
        <f>E38*G38</f>
        <v>0</v>
      </c>
    </row>
    <row r="39" spans="1:8" ht="18" customHeight="1" x14ac:dyDescent="0.2">
      <c r="A39" s="2" t="s">
        <v>485</v>
      </c>
      <c r="B39">
        <v>22251</v>
      </c>
      <c r="C39" t="s">
        <v>233</v>
      </c>
      <c r="D39" t="s">
        <v>486</v>
      </c>
      <c r="E39" s="9">
        <v>7.15</v>
      </c>
      <c r="F39" s="4">
        <v>43983</v>
      </c>
      <c r="G39">
        <v>0.5</v>
      </c>
      <c r="H39">
        <f>E39*G39</f>
        <v>3.5750000000000002</v>
      </c>
    </row>
    <row r="40" spans="1:8" x14ac:dyDescent="0.2">
      <c r="A40" s="2" t="s">
        <v>487</v>
      </c>
      <c r="B40">
        <v>178600</v>
      </c>
      <c r="C40" t="s">
        <v>488</v>
      </c>
      <c r="D40" t="s">
        <v>227</v>
      </c>
      <c r="E40" s="9">
        <v>39.9</v>
      </c>
      <c r="F40" s="4">
        <v>43983</v>
      </c>
      <c r="H40">
        <f>E40*G40</f>
        <v>0</v>
      </c>
    </row>
    <row r="41" spans="1:8" x14ac:dyDescent="0.2">
      <c r="A41" s="2" t="s">
        <v>489</v>
      </c>
      <c r="B41">
        <v>4821</v>
      </c>
      <c r="C41" t="s">
        <v>461</v>
      </c>
      <c r="D41" t="s">
        <v>386</v>
      </c>
      <c r="E41" s="9">
        <v>7.3</v>
      </c>
      <c r="F41" s="4">
        <v>44013</v>
      </c>
      <c r="G41">
        <v>1</v>
      </c>
      <c r="H41">
        <f>E41*G41</f>
        <v>7.3</v>
      </c>
    </row>
    <row r="42" spans="1:8" x14ac:dyDescent="0.2">
      <c r="A42" s="2" t="s">
        <v>24</v>
      </c>
      <c r="B42">
        <v>24030</v>
      </c>
      <c r="C42" t="s">
        <v>490</v>
      </c>
      <c r="D42" t="s">
        <v>386</v>
      </c>
      <c r="E42" s="9">
        <v>6.2</v>
      </c>
      <c r="F42" s="4">
        <v>44013</v>
      </c>
      <c r="G42">
        <v>1</v>
      </c>
      <c r="H42">
        <f>E42*G42</f>
        <v>6.2</v>
      </c>
    </row>
    <row r="43" spans="1:8" x14ac:dyDescent="0.2">
      <c r="A43" s="2" t="s">
        <v>491</v>
      </c>
      <c r="B43">
        <v>6858</v>
      </c>
      <c r="C43" t="s">
        <v>492</v>
      </c>
      <c r="D43" t="s">
        <v>181</v>
      </c>
      <c r="E43" s="9">
        <v>1.4</v>
      </c>
      <c r="F43" s="4">
        <v>43983</v>
      </c>
      <c r="G43">
        <v>1</v>
      </c>
      <c r="H43">
        <f>E43*G43</f>
        <v>1.4</v>
      </c>
    </row>
    <row r="44" spans="1:8" x14ac:dyDescent="0.2">
      <c r="A44" s="2" t="s">
        <v>493</v>
      </c>
      <c r="B44">
        <v>194000</v>
      </c>
      <c r="C44" t="s">
        <v>287</v>
      </c>
      <c r="D44" t="s">
        <v>174</v>
      </c>
      <c r="E44" s="9">
        <v>25.62</v>
      </c>
      <c r="F44" s="4">
        <v>43983</v>
      </c>
      <c r="G44">
        <v>0.5</v>
      </c>
      <c r="H44">
        <f>E44*G44</f>
        <v>12.81</v>
      </c>
    </row>
    <row r="45" spans="1:8" x14ac:dyDescent="0.2">
      <c r="A45" s="2" t="s">
        <v>494</v>
      </c>
      <c r="B45">
        <v>203573</v>
      </c>
      <c r="C45" t="s">
        <v>394</v>
      </c>
      <c r="D45" t="s">
        <v>174</v>
      </c>
      <c r="E45" s="9">
        <v>14.9</v>
      </c>
      <c r="F45" s="4">
        <v>43983</v>
      </c>
      <c r="G45">
        <v>1</v>
      </c>
      <c r="H45">
        <f>E45*G45</f>
        <v>14.9</v>
      </c>
    </row>
    <row r="46" spans="1:8" x14ac:dyDescent="0.2">
      <c r="A46" s="2" t="s">
        <v>495</v>
      </c>
      <c r="B46">
        <v>203545</v>
      </c>
      <c r="C46" t="s">
        <v>284</v>
      </c>
      <c r="D46" t="s">
        <v>486</v>
      </c>
      <c r="E46" s="9">
        <v>5.89</v>
      </c>
      <c r="F46" s="4">
        <v>43983</v>
      </c>
      <c r="H46">
        <f>E46*G46</f>
        <v>0</v>
      </c>
    </row>
    <row r="47" spans="1:8" x14ac:dyDescent="0.2">
      <c r="A47" s="2" t="s">
        <v>496</v>
      </c>
      <c r="B47">
        <v>203546</v>
      </c>
      <c r="C47" t="s">
        <v>497</v>
      </c>
      <c r="D47" t="s">
        <v>486</v>
      </c>
      <c r="E47" s="9">
        <v>16.899999999999999</v>
      </c>
      <c r="F47" s="4">
        <v>43983</v>
      </c>
      <c r="H47">
        <f>E47*G47</f>
        <v>0</v>
      </c>
    </row>
    <row r="48" spans="1:8" x14ac:dyDescent="0.2">
      <c r="A48" s="2" t="s">
        <v>498</v>
      </c>
      <c r="B48">
        <v>92985</v>
      </c>
      <c r="C48" t="s">
        <v>275</v>
      </c>
      <c r="D48" t="s">
        <v>88</v>
      </c>
      <c r="E48" s="9">
        <v>12.9</v>
      </c>
      <c r="F48" s="4">
        <v>43983</v>
      </c>
      <c r="H48">
        <f>E48*G48</f>
        <v>0</v>
      </c>
    </row>
    <row r="49" spans="1:8" x14ac:dyDescent="0.2">
      <c r="A49" s="2" t="s">
        <v>499</v>
      </c>
      <c r="B49">
        <v>32533</v>
      </c>
      <c r="C49" t="s">
        <v>180</v>
      </c>
      <c r="D49" t="s">
        <v>486</v>
      </c>
      <c r="E49" s="9">
        <v>11.5</v>
      </c>
      <c r="F49" s="4">
        <v>43983</v>
      </c>
      <c r="G49">
        <v>0.5</v>
      </c>
      <c r="H49">
        <f>E49*G49</f>
        <v>5.75</v>
      </c>
    </row>
    <row r="50" spans="1:8" x14ac:dyDescent="0.2">
      <c r="A50" s="2" t="s">
        <v>500</v>
      </c>
      <c r="B50">
        <v>89989</v>
      </c>
      <c r="C50" t="s">
        <v>180</v>
      </c>
      <c r="D50" t="s">
        <v>88</v>
      </c>
      <c r="E50" s="9">
        <v>10.9</v>
      </c>
      <c r="F50" s="4">
        <v>43983</v>
      </c>
      <c r="G50">
        <v>0.5</v>
      </c>
      <c r="H50">
        <f>E50*G50</f>
        <v>5.45</v>
      </c>
    </row>
    <row r="51" spans="1:8" x14ac:dyDescent="0.2">
      <c r="A51" s="2" t="s">
        <v>501</v>
      </c>
      <c r="B51">
        <v>89993</v>
      </c>
      <c r="C51" t="s">
        <v>180</v>
      </c>
      <c r="D51" t="s">
        <v>88</v>
      </c>
      <c r="E51" s="9">
        <v>17.791</v>
      </c>
      <c r="F51" s="4">
        <v>43983</v>
      </c>
      <c r="G51">
        <v>0.5</v>
      </c>
      <c r="H51">
        <f>E51*G51</f>
        <v>8.8955000000000002</v>
      </c>
    </row>
    <row r="52" spans="1:8" x14ac:dyDescent="0.2">
      <c r="A52" s="2" t="s">
        <v>502</v>
      </c>
      <c r="B52">
        <v>43413</v>
      </c>
      <c r="C52" t="s">
        <v>461</v>
      </c>
      <c r="D52" t="s">
        <v>88</v>
      </c>
      <c r="E52" s="9">
        <f>16.5/5</f>
        <v>3.3</v>
      </c>
      <c r="F52" s="4">
        <v>43983</v>
      </c>
      <c r="H52">
        <f>E52*G52</f>
        <v>0</v>
      </c>
    </row>
    <row r="53" spans="1:8" x14ac:dyDescent="0.2">
      <c r="A53" s="2" t="s">
        <v>503</v>
      </c>
      <c r="B53">
        <v>98935</v>
      </c>
      <c r="C53" t="s">
        <v>504</v>
      </c>
      <c r="D53" t="s">
        <v>88</v>
      </c>
      <c r="E53" s="9">
        <f>10.455/2.5</f>
        <v>4.1820000000000004</v>
      </c>
      <c r="F53" s="4">
        <v>43983</v>
      </c>
      <c r="G53">
        <v>8</v>
      </c>
      <c r="H53">
        <f>E53*G53</f>
        <v>33.456000000000003</v>
      </c>
    </row>
    <row r="54" spans="1:8" x14ac:dyDescent="0.2">
      <c r="A54" s="2" t="s">
        <v>505</v>
      </c>
      <c r="B54">
        <v>93376</v>
      </c>
      <c r="C54" t="s">
        <v>443</v>
      </c>
      <c r="D54" t="s">
        <v>189</v>
      </c>
      <c r="E54" s="9">
        <v>12.698</v>
      </c>
      <c r="F54" s="4">
        <v>43983</v>
      </c>
      <c r="H54">
        <f>E54*G54</f>
        <v>0</v>
      </c>
    </row>
    <row r="55" spans="1:8" x14ac:dyDescent="0.2">
      <c r="A55" s="2" t="s">
        <v>506</v>
      </c>
      <c r="B55">
        <v>37844</v>
      </c>
      <c r="C55" t="s">
        <v>176</v>
      </c>
      <c r="D55" t="s">
        <v>281</v>
      </c>
      <c r="E55" s="9">
        <v>13.747999999999999</v>
      </c>
      <c r="F55" s="4">
        <v>44013</v>
      </c>
      <c r="G55">
        <v>1</v>
      </c>
      <c r="H55">
        <f>E55*G55</f>
        <v>13.747999999999999</v>
      </c>
    </row>
    <row r="56" spans="1:8" x14ac:dyDescent="0.2">
      <c r="A56" s="2" t="s">
        <v>507</v>
      </c>
      <c r="B56">
        <v>35769</v>
      </c>
      <c r="C56" t="s">
        <v>508</v>
      </c>
      <c r="D56" t="s">
        <v>446</v>
      </c>
      <c r="E56" s="20">
        <v>4.62</v>
      </c>
      <c r="F56" s="4">
        <v>43983</v>
      </c>
      <c r="G56">
        <v>1</v>
      </c>
      <c r="H56">
        <f>E56*G56</f>
        <v>4.62</v>
      </c>
    </row>
    <row r="57" spans="1:8" x14ac:dyDescent="0.2">
      <c r="A57" s="2" t="s">
        <v>509</v>
      </c>
      <c r="B57">
        <v>178589</v>
      </c>
      <c r="C57" t="s">
        <v>176</v>
      </c>
      <c r="D57" t="s">
        <v>281</v>
      </c>
      <c r="E57" s="9">
        <v>17</v>
      </c>
      <c r="F57" s="4">
        <v>43983</v>
      </c>
      <c r="H57">
        <f>E57*G57</f>
        <v>0</v>
      </c>
    </row>
    <row r="58" spans="1:8" x14ac:dyDescent="0.2">
      <c r="A58" s="2" t="s">
        <v>510</v>
      </c>
      <c r="B58">
        <v>153562</v>
      </c>
      <c r="C58" t="s">
        <v>511</v>
      </c>
      <c r="D58" t="s">
        <v>281</v>
      </c>
      <c r="E58" s="9">
        <v>5.8419999999999996</v>
      </c>
      <c r="F58" s="4">
        <v>43983</v>
      </c>
      <c r="H58">
        <f>E58*G58</f>
        <v>0</v>
      </c>
    </row>
    <row r="59" spans="1:8" x14ac:dyDescent="0.2">
      <c r="A59" s="2" t="s">
        <v>512</v>
      </c>
      <c r="B59">
        <v>203549</v>
      </c>
      <c r="C59" t="s">
        <v>392</v>
      </c>
      <c r="D59" t="s">
        <v>189</v>
      </c>
      <c r="E59" s="9">
        <v>6.75</v>
      </c>
      <c r="F59" s="4">
        <v>43983</v>
      </c>
      <c r="H59">
        <f>E59*G59</f>
        <v>0</v>
      </c>
    </row>
    <row r="60" spans="1:8" x14ac:dyDescent="0.2">
      <c r="A60" s="2" t="s">
        <v>31</v>
      </c>
      <c r="B60">
        <v>25254</v>
      </c>
      <c r="C60" t="s">
        <v>269</v>
      </c>
      <c r="D60" t="s">
        <v>88</v>
      </c>
      <c r="E60" s="9">
        <v>0.35</v>
      </c>
      <c r="F60" s="4">
        <v>43983</v>
      </c>
      <c r="G60">
        <v>4.3</v>
      </c>
      <c r="H60">
        <f>E60*G60</f>
        <v>1.5049999999999999</v>
      </c>
    </row>
    <row r="61" spans="1:8" x14ac:dyDescent="0.2">
      <c r="A61" s="2" t="s">
        <v>513</v>
      </c>
      <c r="B61">
        <v>203548</v>
      </c>
      <c r="C61" t="s">
        <v>392</v>
      </c>
      <c r="D61" t="s">
        <v>189</v>
      </c>
      <c r="E61" s="9">
        <v>4.8499999999999996</v>
      </c>
      <c r="F61" s="4">
        <v>43983</v>
      </c>
      <c r="H61">
        <f>E61*G61</f>
        <v>0</v>
      </c>
    </row>
    <row r="62" spans="1:8" x14ac:dyDescent="0.2">
      <c r="A62" s="2" t="s">
        <v>514</v>
      </c>
      <c r="B62">
        <v>59163</v>
      </c>
      <c r="C62" t="s">
        <v>279</v>
      </c>
      <c r="D62" t="s">
        <v>88</v>
      </c>
      <c r="E62" s="9">
        <v>6.2809999999999997</v>
      </c>
      <c r="F62" s="4">
        <v>43983</v>
      </c>
      <c r="G62">
        <v>3.1</v>
      </c>
      <c r="H62">
        <f>E62*G62</f>
        <v>19.4711</v>
      </c>
    </row>
    <row r="63" spans="1:8" x14ac:dyDescent="0.2">
      <c r="A63" s="2" t="s">
        <v>515</v>
      </c>
      <c r="B63">
        <v>160618</v>
      </c>
      <c r="C63" t="s">
        <v>178</v>
      </c>
      <c r="D63" t="s">
        <v>189</v>
      </c>
      <c r="E63" s="9">
        <v>4.5090000000000003</v>
      </c>
      <c r="F63" s="4">
        <v>43983</v>
      </c>
      <c r="H63">
        <f>E63*G63</f>
        <v>0</v>
      </c>
    </row>
    <row r="64" spans="1:8" x14ac:dyDescent="0.2">
      <c r="A64" s="2" t="s">
        <v>516</v>
      </c>
      <c r="B64">
        <v>205143</v>
      </c>
      <c r="C64" t="s">
        <v>173</v>
      </c>
      <c r="D64" t="s">
        <v>189</v>
      </c>
      <c r="E64" s="9">
        <v>6.5</v>
      </c>
      <c r="F64" s="4">
        <v>43983</v>
      </c>
      <c r="G64">
        <v>1.21</v>
      </c>
      <c r="H64">
        <f>E64*G64</f>
        <v>7.8650000000000002</v>
      </c>
    </row>
    <row r="65" spans="1:8" x14ac:dyDescent="0.2">
      <c r="A65" s="2" t="s">
        <v>517</v>
      </c>
      <c r="B65">
        <v>202892</v>
      </c>
      <c r="C65" t="s">
        <v>178</v>
      </c>
      <c r="D65" t="s">
        <v>189</v>
      </c>
      <c r="E65" s="9">
        <v>2.383</v>
      </c>
      <c r="F65" s="4">
        <v>44013</v>
      </c>
      <c r="G65">
        <v>1</v>
      </c>
      <c r="H65">
        <f t="shared" ref="H65:H66" si="0">E65*G65</f>
        <v>2.383</v>
      </c>
    </row>
    <row r="66" spans="1:8" x14ac:dyDescent="0.2">
      <c r="A66" s="2" t="s">
        <v>518</v>
      </c>
      <c r="B66">
        <v>205144</v>
      </c>
      <c r="C66" t="s">
        <v>173</v>
      </c>
      <c r="D66" t="s">
        <v>189</v>
      </c>
      <c r="E66" s="9">
        <v>7.8</v>
      </c>
      <c r="F66" s="4">
        <v>43983</v>
      </c>
      <c r="G66">
        <v>0.3</v>
      </c>
      <c r="H66">
        <f t="shared" si="0"/>
        <v>2.34</v>
      </c>
    </row>
    <row r="67" spans="1:8" x14ac:dyDescent="0.2">
      <c r="A67" s="2" t="s">
        <v>519</v>
      </c>
      <c r="B67">
        <v>186690</v>
      </c>
      <c r="C67" t="s">
        <v>520</v>
      </c>
      <c r="D67" t="s">
        <v>521</v>
      </c>
      <c r="E67" s="9">
        <v>7.7</v>
      </c>
      <c r="F67" s="4">
        <v>43983</v>
      </c>
      <c r="H67">
        <f>E67*G67</f>
        <v>0</v>
      </c>
    </row>
    <row r="68" spans="1:8" x14ac:dyDescent="0.2">
      <c r="A68" s="2" t="s">
        <v>522</v>
      </c>
      <c r="B68">
        <v>43046</v>
      </c>
      <c r="C68" t="s">
        <v>523</v>
      </c>
      <c r="D68" t="s">
        <v>521</v>
      </c>
      <c r="E68" s="9">
        <v>3.25</v>
      </c>
      <c r="F68" s="4">
        <v>43983</v>
      </c>
      <c r="H68">
        <f>E68*G68</f>
        <v>0</v>
      </c>
    </row>
    <row r="69" spans="1:8" x14ac:dyDescent="0.2">
      <c r="A69" s="2" t="s">
        <v>253</v>
      </c>
      <c r="B69">
        <v>137826</v>
      </c>
      <c r="C69" t="s">
        <v>178</v>
      </c>
      <c r="D69" t="s">
        <v>88</v>
      </c>
      <c r="E69" s="9">
        <v>5.5</v>
      </c>
      <c r="F69" s="4">
        <v>43983</v>
      </c>
      <c r="H69">
        <f>E69*G69</f>
        <v>0</v>
      </c>
    </row>
    <row r="70" spans="1:8" x14ac:dyDescent="0.2">
      <c r="A70" s="2" t="s">
        <v>524</v>
      </c>
      <c r="B70">
        <v>45733</v>
      </c>
      <c r="C70" t="s">
        <v>279</v>
      </c>
      <c r="D70" t="s">
        <v>88</v>
      </c>
      <c r="E70" s="9">
        <v>2.85</v>
      </c>
      <c r="F70" s="4">
        <v>43983</v>
      </c>
      <c r="H70">
        <f>E70*G70</f>
        <v>0</v>
      </c>
    </row>
    <row r="71" spans="1:8" x14ac:dyDescent="0.2">
      <c r="A71" s="2" t="s">
        <v>525</v>
      </c>
      <c r="B71">
        <v>208758</v>
      </c>
      <c r="C71" t="s">
        <v>526</v>
      </c>
      <c r="D71" t="s">
        <v>88</v>
      </c>
      <c r="E71" s="9">
        <v>19.690000000000001</v>
      </c>
      <c r="F71" s="4">
        <v>43983</v>
      </c>
      <c r="H71">
        <f>E71*G71</f>
        <v>0</v>
      </c>
    </row>
    <row r="72" spans="1:8" x14ac:dyDescent="0.2">
      <c r="A72" s="2" t="s">
        <v>66</v>
      </c>
      <c r="B72">
        <v>183103</v>
      </c>
      <c r="C72" t="s">
        <v>259</v>
      </c>
      <c r="D72" t="s">
        <v>165</v>
      </c>
      <c r="E72" s="21">
        <v>9.85</v>
      </c>
      <c r="F72" s="4">
        <v>43983</v>
      </c>
      <c r="H72">
        <f>E72*G72</f>
        <v>0</v>
      </c>
    </row>
    <row r="73" spans="1:8" x14ac:dyDescent="0.2">
      <c r="A73" s="2" t="s">
        <v>64</v>
      </c>
      <c r="B73">
        <v>68739</v>
      </c>
      <c r="C73" t="s">
        <v>259</v>
      </c>
      <c r="D73" t="s">
        <v>165</v>
      </c>
      <c r="E73" s="9">
        <v>10.6</v>
      </c>
      <c r="F73" s="4">
        <v>43983</v>
      </c>
      <c r="G73">
        <v>0.2</v>
      </c>
      <c r="H73">
        <f>E73*G73</f>
        <v>2.12</v>
      </c>
    </row>
    <row r="74" spans="1:8" x14ac:dyDescent="0.2">
      <c r="A74" s="2" t="s">
        <v>527</v>
      </c>
      <c r="B74">
        <v>12318</v>
      </c>
      <c r="C74" t="s">
        <v>176</v>
      </c>
      <c r="D74" t="s">
        <v>154</v>
      </c>
      <c r="E74" s="9">
        <v>1.92</v>
      </c>
      <c r="F74" s="4">
        <v>43983</v>
      </c>
      <c r="G74">
        <v>1</v>
      </c>
      <c r="H74">
        <f>E74*G74</f>
        <v>1.92</v>
      </c>
    </row>
    <row r="75" spans="1:8" x14ac:dyDescent="0.2">
      <c r="A75" s="2" t="s">
        <v>528</v>
      </c>
      <c r="B75">
        <v>35097</v>
      </c>
      <c r="C75" t="s">
        <v>176</v>
      </c>
      <c r="D75" t="s">
        <v>154</v>
      </c>
      <c r="E75" s="9">
        <v>2.12</v>
      </c>
      <c r="F75" s="4">
        <v>43983</v>
      </c>
      <c r="G75">
        <v>2.2000000000000002</v>
      </c>
      <c r="H75">
        <f>E75*G75</f>
        <v>4.6640000000000006</v>
      </c>
    </row>
    <row r="76" spans="1:8" x14ac:dyDescent="0.2">
      <c r="A76" s="2" t="s">
        <v>529</v>
      </c>
      <c r="B76">
        <v>95353</v>
      </c>
      <c r="C76" t="s">
        <v>530</v>
      </c>
      <c r="D76" t="s">
        <v>154</v>
      </c>
      <c r="E76" s="9">
        <v>2.4700000000000002</v>
      </c>
      <c r="F76" s="4">
        <v>43983</v>
      </c>
      <c r="H76">
        <f>E76*G76</f>
        <v>0</v>
      </c>
    </row>
    <row r="77" spans="1:8" x14ac:dyDescent="0.2">
      <c r="A77" s="2" t="s">
        <v>531</v>
      </c>
      <c r="B77">
        <v>38323</v>
      </c>
      <c r="C77" t="s">
        <v>173</v>
      </c>
      <c r="D77" t="s">
        <v>532</v>
      </c>
      <c r="E77" s="9">
        <v>1.45</v>
      </c>
      <c r="F77" s="4">
        <v>43983</v>
      </c>
      <c r="G77">
        <v>3</v>
      </c>
      <c r="H77">
        <f>E77*G77</f>
        <v>4.3499999999999996</v>
      </c>
    </row>
    <row r="80" spans="1:8" x14ac:dyDescent="0.2">
      <c r="A80" s="2" t="s">
        <v>533</v>
      </c>
      <c r="B80">
        <v>88647</v>
      </c>
      <c r="C80">
        <v>100</v>
      </c>
      <c r="D80" t="s">
        <v>534</v>
      </c>
      <c r="E80" s="2">
        <f>8.5/100</f>
        <v>8.5000000000000006E-2</v>
      </c>
      <c r="F80" s="4">
        <v>43983</v>
      </c>
      <c r="G80">
        <v>300</v>
      </c>
      <c r="H80">
        <f t="shared" ref="H80:H83" si="1">E80*G80</f>
        <v>25.500000000000004</v>
      </c>
    </row>
    <row r="81" spans="1:8" x14ac:dyDescent="0.2">
      <c r="A81" s="2" t="s">
        <v>42</v>
      </c>
      <c r="B81">
        <v>10287</v>
      </c>
      <c r="C81">
        <v>100</v>
      </c>
      <c r="D81" t="s">
        <v>534</v>
      </c>
      <c r="E81" s="2">
        <f>11.5/100</f>
        <v>0.115</v>
      </c>
      <c r="F81" s="4">
        <v>43983</v>
      </c>
      <c r="G81">
        <v>200</v>
      </c>
      <c r="H81">
        <f t="shared" si="1"/>
        <v>23</v>
      </c>
    </row>
    <row r="82" spans="1:8" x14ac:dyDescent="0.2">
      <c r="A82" s="2" t="s">
        <v>45</v>
      </c>
      <c r="B82">
        <v>89517</v>
      </c>
      <c r="C82">
        <v>100</v>
      </c>
      <c r="D82" t="s">
        <v>534</v>
      </c>
      <c r="E82" s="2">
        <f>17.5/100</f>
        <v>0.17499999999999999</v>
      </c>
      <c r="F82" s="4">
        <v>43983</v>
      </c>
      <c r="G82">
        <v>100</v>
      </c>
      <c r="H82">
        <f t="shared" si="1"/>
        <v>17.5</v>
      </c>
    </row>
    <row r="83" spans="1:8" x14ac:dyDescent="0.2">
      <c r="A83" s="2" t="s">
        <v>535</v>
      </c>
      <c r="B83">
        <v>94686</v>
      </c>
      <c r="C83">
        <v>250</v>
      </c>
      <c r="D83" t="s">
        <v>534</v>
      </c>
      <c r="E83" s="2">
        <f>108/250</f>
        <v>0.432</v>
      </c>
      <c r="F83" s="4">
        <v>43983</v>
      </c>
      <c r="G83">
        <v>50</v>
      </c>
      <c r="H83">
        <f t="shared" si="1"/>
        <v>21.6</v>
      </c>
    </row>
    <row r="86" spans="1:8" x14ac:dyDescent="0.2">
      <c r="B86" s="27" t="s">
        <v>536</v>
      </c>
      <c r="C86" s="27"/>
      <c r="D86" s="27"/>
      <c r="E86" s="27"/>
      <c r="F86" s="27"/>
      <c r="G86" s="27"/>
      <c r="H86" s="16">
        <f>SUM(H2:H77)</f>
        <v>334.73859999999996</v>
      </c>
    </row>
  </sheetData>
  <sortState xmlns:xlrd2="http://schemas.microsoft.com/office/spreadsheetml/2017/richdata2" ref="A2:H77">
    <sortCondition ref="A2:A77"/>
  </sortState>
  <mergeCells count="1">
    <mergeCell ref="B86:G8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workbookViewId="0">
      <selection activeCell="D1" sqref="D1:D32"/>
    </sheetView>
  </sheetViews>
  <sheetFormatPr defaultRowHeight="15" x14ac:dyDescent="0.2"/>
  <cols>
    <col min="1" max="1" width="21.7890625" customWidth="1"/>
    <col min="2" max="2" width="14.2578125" customWidth="1"/>
    <col min="4" max="4" width="7.53125" customWidth="1"/>
    <col min="6" max="6" width="6.72265625" customWidth="1"/>
    <col min="7" max="7" width="5.37890625" customWidth="1"/>
    <col min="8" max="8" width="14.66015625" customWidth="1"/>
    <col min="10" max="10" width="13.31640625" customWidth="1"/>
  </cols>
  <sheetData>
    <row r="1" spans="1:7" ht="12.75" customHeight="1" x14ac:dyDescent="0.2">
      <c r="A1" t="s">
        <v>81</v>
      </c>
      <c r="B1" t="s">
        <v>167</v>
      </c>
      <c r="C1" t="s">
        <v>83</v>
      </c>
      <c r="D1" s="16" t="s">
        <v>84</v>
      </c>
      <c r="E1" t="s">
        <v>85</v>
      </c>
      <c r="F1" t="s">
        <v>86</v>
      </c>
      <c r="G1" t="s">
        <v>71</v>
      </c>
    </row>
    <row r="2" spans="1:7" ht="12.75" customHeight="1" x14ac:dyDescent="0.2">
      <c r="A2" s="1"/>
      <c r="B2" s="1"/>
      <c r="D2" s="16"/>
    </row>
    <row r="3" spans="1:7" ht="12.75" customHeight="1" x14ac:dyDescent="0.2">
      <c r="A3" s="1" t="s">
        <v>4</v>
      </c>
      <c r="B3" s="1" t="s">
        <v>537</v>
      </c>
      <c r="C3" t="s">
        <v>538</v>
      </c>
      <c r="D3" s="16"/>
      <c r="F3">
        <v>4.3</v>
      </c>
      <c r="G3">
        <f>D3*F3</f>
        <v>0</v>
      </c>
    </row>
    <row r="4" spans="1:7" ht="12.75" customHeight="1" x14ac:dyDescent="0.2">
      <c r="A4" s="1" t="s">
        <v>7</v>
      </c>
      <c r="B4" s="1"/>
      <c r="D4" s="16"/>
      <c r="F4">
        <v>2</v>
      </c>
      <c r="G4">
        <f t="shared" ref="G4:G32" si="0">D4*F4</f>
        <v>0</v>
      </c>
    </row>
    <row r="5" spans="1:7" ht="12.75" customHeight="1" x14ac:dyDescent="0.2">
      <c r="A5" s="1" t="s">
        <v>10</v>
      </c>
      <c r="B5" s="1"/>
      <c r="D5" s="16"/>
      <c r="G5">
        <f t="shared" si="0"/>
        <v>0</v>
      </c>
    </row>
    <row r="6" spans="1:7" ht="12.75" customHeight="1" x14ac:dyDescent="0.2">
      <c r="A6" s="1" t="s">
        <v>13</v>
      </c>
      <c r="B6" s="1"/>
      <c r="D6" s="16"/>
      <c r="F6">
        <v>3</v>
      </c>
      <c r="G6">
        <f t="shared" si="0"/>
        <v>0</v>
      </c>
    </row>
    <row r="7" spans="1:7" ht="12.75" customHeight="1" x14ac:dyDescent="0.2">
      <c r="A7" s="1" t="s">
        <v>16</v>
      </c>
      <c r="B7" s="1"/>
      <c r="D7" s="16"/>
      <c r="F7">
        <v>6</v>
      </c>
      <c r="G7">
        <f t="shared" si="0"/>
        <v>0</v>
      </c>
    </row>
    <row r="8" spans="1:7" ht="12.75" customHeight="1" x14ac:dyDescent="0.2">
      <c r="A8" s="1" t="s">
        <v>19</v>
      </c>
      <c r="B8" s="1"/>
      <c r="D8" s="16"/>
      <c r="G8">
        <f t="shared" si="0"/>
        <v>0</v>
      </c>
    </row>
    <row r="9" spans="1:7" ht="12.75" customHeight="1" x14ac:dyDescent="0.2">
      <c r="A9" s="1" t="s">
        <v>539</v>
      </c>
      <c r="B9" s="1"/>
      <c r="D9" s="16"/>
      <c r="F9">
        <v>1</v>
      </c>
    </row>
    <row r="10" spans="1:7" ht="12.75" customHeight="1" x14ac:dyDescent="0.2">
      <c r="A10" s="1" t="s">
        <v>540</v>
      </c>
      <c r="B10" s="1"/>
      <c r="D10" s="16"/>
      <c r="F10">
        <v>3</v>
      </c>
      <c r="G10">
        <f t="shared" si="0"/>
        <v>0</v>
      </c>
    </row>
    <row r="11" spans="1:7" ht="12.75" customHeight="1" x14ac:dyDescent="0.2">
      <c r="A11" s="1" t="s">
        <v>25</v>
      </c>
      <c r="B11" s="1"/>
      <c r="D11" s="16"/>
      <c r="G11">
        <f t="shared" si="0"/>
        <v>0</v>
      </c>
    </row>
    <row r="12" spans="1:7" ht="12.75" customHeight="1" x14ac:dyDescent="0.2">
      <c r="A12" s="1" t="s">
        <v>541</v>
      </c>
      <c r="B12" s="1"/>
      <c r="D12" s="16"/>
      <c r="G12">
        <f t="shared" si="0"/>
        <v>0</v>
      </c>
    </row>
    <row r="13" spans="1:7" ht="12.75" customHeight="1" x14ac:dyDescent="0.2">
      <c r="A13" s="1" t="s">
        <v>6</v>
      </c>
      <c r="B13" s="1"/>
      <c r="D13" s="16"/>
      <c r="G13">
        <f t="shared" si="0"/>
        <v>0</v>
      </c>
    </row>
    <row r="14" spans="1:7" ht="12.75" customHeight="1" x14ac:dyDescent="0.2">
      <c r="A14" s="1" t="s">
        <v>9</v>
      </c>
      <c r="B14" s="1"/>
      <c r="D14" s="16"/>
      <c r="G14">
        <f t="shared" si="0"/>
        <v>0</v>
      </c>
    </row>
    <row r="15" spans="1:7" ht="12.75" customHeight="1" x14ac:dyDescent="0.2">
      <c r="A15" s="1" t="s">
        <v>542</v>
      </c>
      <c r="B15" s="1"/>
      <c r="D15" s="16"/>
      <c r="F15">
        <v>5</v>
      </c>
      <c r="G15">
        <f t="shared" si="0"/>
        <v>0</v>
      </c>
    </row>
    <row r="16" spans="1:7" ht="12.75" customHeight="1" x14ac:dyDescent="0.2">
      <c r="A16" s="1" t="s">
        <v>543</v>
      </c>
      <c r="B16" s="1"/>
      <c r="D16" s="16"/>
      <c r="G16">
        <f t="shared" si="0"/>
        <v>0</v>
      </c>
    </row>
    <row r="17" spans="1:7" ht="12.75" customHeight="1" x14ac:dyDescent="0.2">
      <c r="A17" s="1" t="s">
        <v>544</v>
      </c>
      <c r="B17" s="1"/>
      <c r="D17" s="16"/>
      <c r="F17">
        <v>2</v>
      </c>
      <c r="G17">
        <f t="shared" si="0"/>
        <v>0</v>
      </c>
    </row>
    <row r="18" spans="1:7" ht="12.75" customHeight="1" x14ac:dyDescent="0.2">
      <c r="A18" s="1" t="s">
        <v>545</v>
      </c>
      <c r="B18" s="1"/>
      <c r="D18" s="16"/>
      <c r="F18">
        <v>1.6</v>
      </c>
      <c r="G18">
        <f t="shared" si="0"/>
        <v>0</v>
      </c>
    </row>
    <row r="19" spans="1:7" ht="12.75" customHeight="1" x14ac:dyDescent="0.2">
      <c r="A19" s="1" t="s">
        <v>546</v>
      </c>
      <c r="B19" s="1"/>
      <c r="D19" s="16"/>
      <c r="G19">
        <f t="shared" si="0"/>
        <v>0</v>
      </c>
    </row>
    <row r="20" spans="1:7" ht="12.75" customHeight="1" x14ac:dyDescent="0.2">
      <c r="A20" s="1" t="s">
        <v>547</v>
      </c>
      <c r="B20" s="1"/>
      <c r="D20" s="16"/>
      <c r="G20">
        <f t="shared" si="0"/>
        <v>0</v>
      </c>
    </row>
    <row r="21" spans="1:7" ht="12.75" customHeight="1" x14ac:dyDescent="0.2">
      <c r="A21" s="1" t="s">
        <v>548</v>
      </c>
      <c r="B21" s="1"/>
      <c r="D21" s="16"/>
      <c r="F21">
        <v>1</v>
      </c>
      <c r="G21">
        <f t="shared" si="0"/>
        <v>0</v>
      </c>
    </row>
    <row r="22" spans="1:7" ht="12.75" customHeight="1" x14ac:dyDescent="0.2">
      <c r="A22" s="1" t="s">
        <v>549</v>
      </c>
      <c r="B22" s="1"/>
      <c r="D22" s="16"/>
      <c r="F22">
        <v>1</v>
      </c>
      <c r="G22">
        <f t="shared" si="0"/>
        <v>0</v>
      </c>
    </row>
    <row r="23" spans="1:7" ht="12.75" customHeight="1" x14ac:dyDescent="0.2">
      <c r="A23" s="23" t="s">
        <v>550</v>
      </c>
      <c r="B23" s="23"/>
      <c r="D23" s="16"/>
      <c r="F23">
        <v>1.25</v>
      </c>
      <c r="G23">
        <f t="shared" si="0"/>
        <v>0</v>
      </c>
    </row>
    <row r="24" spans="1:7" ht="12.75" customHeight="1" x14ac:dyDescent="0.2">
      <c r="A24" s="23" t="s">
        <v>551</v>
      </c>
      <c r="B24" s="23"/>
      <c r="D24" s="16"/>
      <c r="F24">
        <v>1.5</v>
      </c>
      <c r="G24">
        <f t="shared" si="0"/>
        <v>0</v>
      </c>
    </row>
    <row r="25" spans="1:7" ht="12.75" customHeight="1" x14ac:dyDescent="0.2">
      <c r="A25" s="23" t="s">
        <v>552</v>
      </c>
      <c r="B25" s="23"/>
      <c r="D25" s="16"/>
      <c r="F25">
        <v>0.5</v>
      </c>
      <c r="G25">
        <f t="shared" si="0"/>
        <v>0</v>
      </c>
    </row>
    <row r="26" spans="1:7" ht="12.75" customHeight="1" x14ac:dyDescent="0.2">
      <c r="A26" s="23" t="s">
        <v>553</v>
      </c>
      <c r="B26" s="23"/>
      <c r="D26" s="16"/>
      <c r="F26">
        <v>0.15</v>
      </c>
      <c r="G26">
        <f t="shared" si="0"/>
        <v>0</v>
      </c>
    </row>
    <row r="27" spans="1:7" ht="12.75" customHeight="1" x14ac:dyDescent="0.2">
      <c r="A27" s="23" t="s">
        <v>554</v>
      </c>
      <c r="B27" s="23"/>
      <c r="D27" s="16"/>
      <c r="F27">
        <v>1</v>
      </c>
      <c r="G27">
        <f t="shared" si="0"/>
        <v>0</v>
      </c>
    </row>
    <row r="28" spans="1:7" ht="12.75" customHeight="1" x14ac:dyDescent="0.2">
      <c r="A28" s="23" t="s">
        <v>555</v>
      </c>
      <c r="B28" s="23"/>
      <c r="D28" s="16"/>
      <c r="F28">
        <v>2</v>
      </c>
      <c r="G28">
        <f t="shared" si="0"/>
        <v>0</v>
      </c>
    </row>
    <row r="29" spans="1:7" x14ac:dyDescent="0.2">
      <c r="A29" t="s">
        <v>556</v>
      </c>
      <c r="D29" s="16"/>
      <c r="F29">
        <v>6</v>
      </c>
      <c r="G29">
        <f t="shared" si="0"/>
        <v>0</v>
      </c>
    </row>
    <row r="30" spans="1:7" x14ac:dyDescent="0.2">
      <c r="A30" t="s">
        <v>557</v>
      </c>
      <c r="D30" s="16"/>
      <c r="F30">
        <v>1</v>
      </c>
      <c r="G30">
        <f t="shared" si="0"/>
        <v>0</v>
      </c>
    </row>
    <row r="31" spans="1:7" x14ac:dyDescent="0.2">
      <c r="A31" t="s">
        <v>558</v>
      </c>
      <c r="D31" s="16"/>
      <c r="F31">
        <v>1</v>
      </c>
      <c r="G31">
        <f t="shared" si="0"/>
        <v>0</v>
      </c>
    </row>
    <row r="32" spans="1:7" x14ac:dyDescent="0.2">
      <c r="A32" t="s">
        <v>559</v>
      </c>
      <c r="D32" s="16"/>
      <c r="F32">
        <v>6</v>
      </c>
      <c r="G32">
        <f t="shared" si="0"/>
        <v>0</v>
      </c>
    </row>
    <row r="33" spans="1:7" x14ac:dyDescent="0.2">
      <c r="A33" s="16"/>
      <c r="B33" s="27" t="s">
        <v>560</v>
      </c>
      <c r="C33" s="27"/>
      <c r="D33" s="27"/>
      <c r="E33" s="27"/>
      <c r="F33" s="27"/>
      <c r="G33" s="16">
        <f>SUM(G3:G29)</f>
        <v>0</v>
      </c>
    </row>
  </sheetData>
  <mergeCells count="1">
    <mergeCell ref="B33:F3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B133D-A76F-4C42-A096-730F7BC0A6F7}">
  <dimension ref="A1:G9"/>
  <sheetViews>
    <sheetView workbookViewId="0">
      <selection activeCell="I12" sqref="I12"/>
    </sheetView>
  </sheetViews>
  <sheetFormatPr defaultRowHeight="15" x14ac:dyDescent="0.2"/>
  <cols>
    <col min="1" max="1" width="20.4453125" customWidth="1"/>
    <col min="2" max="2" width="10.35546875" customWidth="1"/>
    <col min="3" max="3" width="6.9921875" customWidth="1"/>
    <col min="4" max="4" width="4.5703125" customWidth="1"/>
    <col min="6" max="6" width="6.05078125" customWidth="1"/>
    <col min="7" max="7" width="6.859375" customWidth="1"/>
  </cols>
  <sheetData>
    <row r="1" spans="1:7" x14ac:dyDescent="0.2">
      <c r="A1" t="s">
        <v>81</v>
      </c>
      <c r="B1" t="s">
        <v>167</v>
      </c>
      <c r="C1" t="s">
        <v>83</v>
      </c>
      <c r="D1" t="s">
        <v>84</v>
      </c>
      <c r="E1" t="s">
        <v>85</v>
      </c>
      <c r="F1" t="s">
        <v>86</v>
      </c>
      <c r="G1" t="s">
        <v>71</v>
      </c>
    </row>
    <row r="3" spans="1:7" x14ac:dyDescent="0.2">
      <c r="A3" t="s">
        <v>561</v>
      </c>
      <c r="B3" t="s">
        <v>88</v>
      </c>
      <c r="C3" t="s">
        <v>88</v>
      </c>
      <c r="D3">
        <v>5.55</v>
      </c>
      <c r="E3" s="4">
        <v>44013</v>
      </c>
      <c r="F3">
        <v>23.12</v>
      </c>
      <c r="G3">
        <f>D3*F3</f>
        <v>128.316</v>
      </c>
    </row>
    <row r="4" spans="1:7" x14ac:dyDescent="0.2">
      <c r="A4" t="s">
        <v>562</v>
      </c>
      <c r="B4" t="s">
        <v>127</v>
      </c>
      <c r="C4" t="s">
        <v>88</v>
      </c>
      <c r="D4">
        <v>2.42</v>
      </c>
    </row>
    <row r="9" spans="1:7" x14ac:dyDescent="0.2">
      <c r="A9" s="16"/>
      <c r="B9" s="27" t="s">
        <v>563</v>
      </c>
      <c r="C9" s="27"/>
      <c r="D9" s="27"/>
      <c r="E9" s="27"/>
      <c r="F9" s="27"/>
      <c r="G9" s="16">
        <f>SUM(G3:G7)</f>
        <v>128.316</v>
      </c>
    </row>
  </sheetData>
  <mergeCells count="1">
    <mergeCell ref="B9:F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B3138-C9B8-4221-BB9A-8B0360EC3E9F}">
  <dimension ref="A1:G12"/>
  <sheetViews>
    <sheetView tabSelected="1" workbookViewId="0">
      <selection activeCell="D19" sqref="D19"/>
    </sheetView>
  </sheetViews>
  <sheetFormatPr defaultRowHeight="15" x14ac:dyDescent="0.2"/>
  <cols>
    <col min="1" max="1" width="27.7109375" customWidth="1"/>
    <col min="2" max="2" width="11.43359375" customWidth="1"/>
    <col min="3" max="3" width="7.26171875" customWidth="1"/>
    <col min="6" max="6" width="5.109375" customWidth="1"/>
    <col min="7" max="7" width="4.83984375" customWidth="1"/>
  </cols>
  <sheetData>
    <row r="1" spans="1:7" x14ac:dyDescent="0.2">
      <c r="A1" t="s">
        <v>81</v>
      </c>
      <c r="B1" t="s">
        <v>167</v>
      </c>
      <c r="C1" t="s">
        <v>83</v>
      </c>
      <c r="D1" t="s">
        <v>84</v>
      </c>
      <c r="E1" t="s">
        <v>85</v>
      </c>
      <c r="F1" t="s">
        <v>86</v>
      </c>
      <c r="G1" t="s">
        <v>71</v>
      </c>
    </row>
    <row r="3" spans="1:7" x14ac:dyDescent="0.2">
      <c r="A3" t="s">
        <v>564</v>
      </c>
      <c r="B3" t="s">
        <v>565</v>
      </c>
      <c r="C3" t="s">
        <v>88</v>
      </c>
      <c r="D3">
        <v>16.899999999999999</v>
      </c>
      <c r="E3" s="4">
        <v>43983</v>
      </c>
      <c r="F3">
        <v>2.1</v>
      </c>
      <c r="G3">
        <f>D3*F3</f>
        <v>35.49</v>
      </c>
    </row>
    <row r="4" spans="1:7" x14ac:dyDescent="0.2">
      <c r="A4" t="s">
        <v>566</v>
      </c>
      <c r="B4" t="s">
        <v>567</v>
      </c>
      <c r="C4" t="s">
        <v>88</v>
      </c>
      <c r="D4">
        <v>15.9</v>
      </c>
      <c r="E4" s="4">
        <v>44044</v>
      </c>
      <c r="F4">
        <f>7.4+2.6+3.6+0.6</f>
        <v>14.2</v>
      </c>
      <c r="G4">
        <f t="shared" ref="G4:G9" si="0">D4*F4</f>
        <v>225.78</v>
      </c>
    </row>
    <row r="5" spans="1:7" x14ac:dyDescent="0.2">
      <c r="A5" t="s">
        <v>568</v>
      </c>
      <c r="B5" t="s">
        <v>565</v>
      </c>
      <c r="C5" t="s">
        <v>88</v>
      </c>
      <c r="D5">
        <v>9.9</v>
      </c>
      <c r="E5" s="4">
        <v>43983</v>
      </c>
      <c r="F5">
        <v>2.2000000000000002</v>
      </c>
      <c r="G5">
        <f t="shared" si="0"/>
        <v>21.78</v>
      </c>
    </row>
    <row r="6" spans="1:7" x14ac:dyDescent="0.2">
      <c r="A6" t="s">
        <v>569</v>
      </c>
      <c r="B6" t="s">
        <v>570</v>
      </c>
      <c r="C6" t="s">
        <v>181</v>
      </c>
      <c r="D6">
        <v>14.95</v>
      </c>
      <c r="E6" s="4">
        <v>43983</v>
      </c>
      <c r="F6">
        <v>1</v>
      </c>
      <c r="G6">
        <f t="shared" si="0"/>
        <v>14.95</v>
      </c>
    </row>
    <row r="7" spans="1:7" x14ac:dyDescent="0.2">
      <c r="A7" t="s">
        <v>571</v>
      </c>
      <c r="B7" t="s">
        <v>572</v>
      </c>
      <c r="C7" t="s">
        <v>88</v>
      </c>
      <c r="D7">
        <v>24.9</v>
      </c>
      <c r="E7" s="4">
        <v>44044</v>
      </c>
      <c r="G7">
        <f t="shared" si="0"/>
        <v>0</v>
      </c>
    </row>
    <row r="8" spans="1:7" x14ac:dyDescent="0.2">
      <c r="A8" t="s">
        <v>573</v>
      </c>
      <c r="B8" t="s">
        <v>308</v>
      </c>
      <c r="C8" t="s">
        <v>88</v>
      </c>
      <c r="D8">
        <v>23.9</v>
      </c>
      <c r="E8" s="4">
        <v>43983</v>
      </c>
      <c r="G8">
        <f t="shared" si="0"/>
        <v>0</v>
      </c>
    </row>
    <row r="9" spans="1:7" x14ac:dyDescent="0.2">
      <c r="A9" t="s">
        <v>575</v>
      </c>
      <c r="B9" t="s">
        <v>343</v>
      </c>
      <c r="C9" t="s">
        <v>312</v>
      </c>
      <c r="D9">
        <v>26.9</v>
      </c>
      <c r="E9" s="4">
        <v>44044</v>
      </c>
      <c r="G9">
        <f t="shared" si="0"/>
        <v>0</v>
      </c>
    </row>
    <row r="10" spans="1:7" x14ac:dyDescent="0.2">
      <c r="A10" t="s">
        <v>576</v>
      </c>
      <c r="B10" t="s">
        <v>347</v>
      </c>
      <c r="C10" t="s">
        <v>312</v>
      </c>
      <c r="D10">
        <v>9.9</v>
      </c>
      <c r="E10" s="4">
        <v>44044</v>
      </c>
    </row>
    <row r="12" spans="1:7" x14ac:dyDescent="0.2">
      <c r="A12" s="16"/>
      <c r="B12" s="16"/>
      <c r="C12" s="27" t="s">
        <v>574</v>
      </c>
      <c r="D12" s="27"/>
      <c r="E12" s="27"/>
      <c r="F12" s="27"/>
      <c r="G12" s="16">
        <f>SUM(G3:G9)</f>
        <v>297.99999999999994</v>
      </c>
    </row>
  </sheetData>
  <mergeCells count="1">
    <mergeCell ref="C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Commande Journaliere</vt:lpstr>
      <vt:lpstr>INVENTAIRE</vt:lpstr>
      <vt:lpstr>Loste</vt:lpstr>
      <vt:lpstr>ECOLAB</vt:lpstr>
      <vt:lpstr>Transgourmet</vt:lpstr>
      <vt:lpstr>Passion Froid</vt:lpstr>
      <vt:lpstr>Episaveur</vt:lpstr>
      <vt:lpstr>Commande Via Patisserie</vt:lpstr>
      <vt:lpstr>Pollet</vt:lpstr>
      <vt:lpstr>Goeland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Yohann Cornet</cp:lastModifiedBy>
  <cp:revision/>
  <dcterms:created xsi:type="dcterms:W3CDTF">2019-11-18T10:19:12Z</dcterms:created>
  <dcterms:modified xsi:type="dcterms:W3CDTF">2020-07-18T12:52:10Z</dcterms:modified>
  <cp:category/>
  <cp:contentStatus/>
</cp:coreProperties>
</file>